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9-U10" sheetId="1" state="visible" r:id="rId3"/>
    <sheet name="U9-U10 Scores" sheetId="2" state="visible" r:id="rId4"/>
    <sheet name="U9-U10 League" sheetId="3" state="visible" r:id="rId5"/>
    <sheet name="U9-U10 Goalscorers" sheetId="4" state="visible" r:id="rId6"/>
    <sheet name="U11-U12" sheetId="5" state="visible" r:id="rId7"/>
    <sheet name="U11-U12 Scores" sheetId="6" state="visible" r:id="rId8"/>
    <sheet name="U11-U12 League" sheetId="7" state="visible" r:id="rId9"/>
    <sheet name="U11-U12 Goalscorer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<sst xmlns="http://schemas.openxmlformats.org/spreadsheetml/2006/main" count="644" uniqueCount="148">
  <si>
    <t xml:space="preserve">World Cup Tournament</t>
  </si>
  <si>
    <t xml:space="preserve">Group 1</t>
  </si>
  <si>
    <t xml:space="preserve">Group 2</t>
  </si>
  <si>
    <t xml:space="preserve">A</t>
  </si>
  <si>
    <t xml:space="preserve">Brazil</t>
  </si>
  <si>
    <t xml:space="preserve">G</t>
  </si>
  <si>
    <t xml:space="preserve">France</t>
  </si>
  <si>
    <t xml:space="preserve">B</t>
  </si>
  <si>
    <t xml:space="preserve">England</t>
  </si>
  <si>
    <t xml:space="preserve">H</t>
  </si>
  <si>
    <t xml:space="preserve">Germany</t>
  </si>
  <si>
    <t xml:space="preserve">C</t>
  </si>
  <si>
    <t xml:space="preserve">Spain</t>
  </si>
  <si>
    <t xml:space="preserve">I</t>
  </si>
  <si>
    <t xml:space="preserve">Argentina</t>
  </si>
  <si>
    <t xml:space="preserve">D</t>
  </si>
  <si>
    <t xml:space="preserve">Mexico</t>
  </si>
  <si>
    <t xml:space="preserve">J</t>
  </si>
  <si>
    <t xml:space="preserve">Netherlands</t>
  </si>
  <si>
    <t xml:space="preserve">E</t>
  </si>
  <si>
    <t xml:space="preserve">Portugal</t>
  </si>
  <si>
    <t xml:space="preserve">K</t>
  </si>
  <si>
    <t xml:space="preserve">Canada</t>
  </si>
  <si>
    <t xml:space="preserve">F</t>
  </si>
  <si>
    <t xml:space="preserve">USA</t>
  </si>
  <si>
    <t xml:space="preserve">L</t>
  </si>
  <si>
    <t xml:space="preserve">Scotland</t>
  </si>
  <si>
    <t xml:space="preserve">Brazil vs England</t>
  </si>
  <si>
    <t xml:space="preserve">Brazil vs Spain</t>
  </si>
  <si>
    <t xml:space="preserve">Brazil vs Mexico</t>
  </si>
  <si>
    <t xml:space="preserve">France vs Scotland</t>
  </si>
  <si>
    <t xml:space="preserve">France vs Netherlands</t>
  </si>
  <si>
    <t xml:space="preserve">France vs Germany</t>
  </si>
  <si>
    <t xml:space="preserve">Spain vs Mexico</t>
  </si>
  <si>
    <t xml:space="preserve">England vs Mexico</t>
  </si>
  <si>
    <t xml:space="preserve">England vs Spain</t>
  </si>
  <si>
    <t xml:space="preserve">Germany vs Canada</t>
  </si>
  <si>
    <t xml:space="preserve">Canada vs Scotland</t>
  </si>
  <si>
    <t xml:space="preserve">Argentina vs Scotland</t>
  </si>
  <si>
    <t xml:space="preserve">Brazil vs Portugal</t>
  </si>
  <si>
    <t xml:space="preserve">Brazil vs USA</t>
  </si>
  <si>
    <t xml:space="preserve">Portugal vs USA</t>
  </si>
  <si>
    <t xml:space="preserve">Argentina vs Netherlands</t>
  </si>
  <si>
    <t xml:space="preserve">France vs Argentina</t>
  </si>
  <si>
    <t xml:space="preserve">Canada vs Netherlands</t>
  </si>
  <si>
    <t xml:space="preserve">England vs USA</t>
  </si>
  <si>
    <t xml:space="preserve">England vs Portugal</t>
  </si>
  <si>
    <t xml:space="preserve">France vs Canada</t>
  </si>
  <si>
    <t xml:space="preserve">Germany vs Scotland</t>
  </si>
  <si>
    <t xml:space="preserve">Spain vs Portugal</t>
  </si>
  <si>
    <t xml:space="preserve">Spain vs USA</t>
  </si>
  <si>
    <t xml:space="preserve">Germany vs Argentina</t>
  </si>
  <si>
    <t xml:space="preserve">Germany vs Netherlands</t>
  </si>
  <si>
    <t xml:space="preserve">Mexico vs USA</t>
  </si>
  <si>
    <t xml:space="preserve">Mexico vs Portugal</t>
  </si>
  <si>
    <t xml:space="preserve">Netherlands vs Scotland</t>
  </si>
  <si>
    <t xml:space="preserve">Argentina vs Canada</t>
  </si>
  <si>
    <t xml:space="preserve">England vs Brazil</t>
  </si>
  <si>
    <t xml:space="preserve">Spain vs Brazil</t>
  </si>
  <si>
    <t xml:space="preserve">Scotland vs France</t>
  </si>
  <si>
    <t xml:space="preserve">Netherlands vs France</t>
  </si>
  <si>
    <t xml:space="preserve">Germany vs France</t>
  </si>
  <si>
    <t xml:space="preserve">Mexico vs Spain</t>
  </si>
  <si>
    <t xml:space="preserve">Mexico vs England</t>
  </si>
  <si>
    <t xml:space="preserve">Spain vs England</t>
  </si>
  <si>
    <t xml:space="preserve">Canada vs Germany</t>
  </si>
  <si>
    <t xml:space="preserve">Scotland vs Canada</t>
  </si>
  <si>
    <t xml:space="preserve">Scotland vs Argentina</t>
  </si>
  <si>
    <t xml:space="preserve">Portugal vs Brazil</t>
  </si>
  <si>
    <t xml:space="preserve">USA vs Brazil</t>
  </si>
  <si>
    <t xml:space="preserve">USA vs Portugal</t>
  </si>
  <si>
    <t xml:space="preserve">Netherlands vs Argentina</t>
  </si>
  <si>
    <t xml:space="preserve">Argentina vs France</t>
  </si>
  <si>
    <t xml:space="preserve">Netherlands vs Canada</t>
  </si>
  <si>
    <t xml:space="preserve">USA vs England</t>
  </si>
  <si>
    <t xml:space="preserve">Portugal vs England</t>
  </si>
  <si>
    <t xml:space="preserve">Canada vs France</t>
  </si>
  <si>
    <t xml:space="preserve">Scotland vs Germany</t>
  </si>
  <si>
    <t xml:space="preserve">Portugal vs Spain</t>
  </si>
  <si>
    <t xml:space="preserve">USA vs Spain</t>
  </si>
  <si>
    <t xml:space="preserve">Argentina vs Germany</t>
  </si>
  <si>
    <t xml:space="preserve">Netherlands vs Germany</t>
  </si>
  <si>
    <t xml:space="preserve">USA vs Mexico</t>
  </si>
  <si>
    <t xml:space="preserve">Scotland vs Netherlands</t>
  </si>
  <si>
    <t xml:space="preserve">Canada vs Argentina</t>
  </si>
  <si>
    <t xml:space="preserve">U9-U10 – Match Results</t>
  </si>
  <si>
    <t xml:space="preserve">Enter final scores in the YELLOW cells only (whole numbers, e.g. 2 and 1). Leave both blank until the match has been played — the League and Goalscorer sheets update automatically.</t>
  </si>
  <si>
    <t xml:space="preserve">Group</t>
  </si>
  <si>
    <t xml:space="preserve">Time</t>
  </si>
  <si>
    <t xml:space="preserve">Home Team</t>
  </si>
  <si>
    <t xml:space="preserve">Home Goals</t>
  </si>
  <si>
    <t xml:space="preserve">Away Goals</t>
  </si>
  <si>
    <t xml:space="preserve">Away Team</t>
  </si>
  <si>
    <t xml:space="preserve">U9-U10 League Tables</t>
  </si>
  <si>
    <t xml:space="preserve">Updates automatically from the Scores sheet. Ranked by Points, then Goal Difference, then Goals For. Do not type in this sheet.</t>
  </si>
  <si>
    <t xml:space="preserve">Pos</t>
  </si>
  <si>
    <t xml:space="preserve">Team</t>
  </si>
  <si>
    <t xml:space="preserve">P</t>
  </si>
  <si>
    <t xml:space="preserve">W</t>
  </si>
  <si>
    <t xml:space="preserve">GF</t>
  </si>
  <si>
    <t xml:space="preserve">GA</t>
  </si>
  <si>
    <t xml:space="preserve">GD</t>
  </si>
  <si>
    <t xml:space="preserve">Pts</t>
  </si>
  <si>
    <t xml:space="preserve">U9-U10 Golden Boot</t>
  </si>
  <si>
    <t xml:space="preserve">Every time a player scores, add ONE ROW to the yellow GOAL LOG below: player name + team (e.g. "Jack S." / "Brazil"). Scored twice? Add two rows. The TOP SCORERS table sorts itself automatically.</t>
  </si>
  <si>
    <t xml:space="preserve">Tip: keep each player's name spelled exactly the same every time (add a surname initial if two players share a first name).</t>
  </si>
  <si>
    <t xml:space="preserve">GOAL LOG</t>
  </si>
  <si>
    <t xml:space="preserve">TOP SCORERS (automatic)</t>
  </si>
  <si>
    <t xml:space="preserve">Player</t>
  </si>
  <si>
    <t xml:space="preserve">Rank</t>
  </si>
  <si>
    <t xml:space="preserve">Goals</t>
  </si>
  <si>
    <t xml:space="preserve">Brazil vs Germany</t>
  </si>
  <si>
    <t xml:space="preserve">Brazil vs Netherlands</t>
  </si>
  <si>
    <t xml:space="preserve">France vs USA</t>
  </si>
  <si>
    <t xml:space="preserve">France vs Mexico</t>
  </si>
  <si>
    <t xml:space="preserve">France vs England</t>
  </si>
  <si>
    <t xml:space="preserve">Spain vs Netherlands</t>
  </si>
  <si>
    <t xml:space="preserve">Germany vs Spain</t>
  </si>
  <si>
    <t xml:space="preserve">England vs Canada</t>
  </si>
  <si>
    <t xml:space="preserve">Canada vs USA</t>
  </si>
  <si>
    <t xml:space="preserve">Argentina vs USA</t>
  </si>
  <si>
    <t xml:space="preserve">Brazil vs Scotland</t>
  </si>
  <si>
    <t xml:space="preserve">Portugal vs Scotland</t>
  </si>
  <si>
    <t xml:space="preserve">Argentina vs Mexico</t>
  </si>
  <si>
    <t xml:space="preserve">Canada vs Mexico</t>
  </si>
  <si>
    <t xml:space="preserve">Germany vs Portugal</t>
  </si>
  <si>
    <t xml:space="preserve">Spain vs Scotland</t>
  </si>
  <si>
    <t xml:space="preserve">England vs Argentina</t>
  </si>
  <si>
    <t xml:space="preserve">Netherlands vs Portugal</t>
  </si>
  <si>
    <t xml:space="preserve">Germany vs Brazil</t>
  </si>
  <si>
    <t xml:space="preserve">USA vs France</t>
  </si>
  <si>
    <t xml:space="preserve">Mexico vs France</t>
  </si>
  <si>
    <t xml:space="preserve">England vs France</t>
  </si>
  <si>
    <t xml:space="preserve">Netherlands vs Spain</t>
  </si>
  <si>
    <t xml:space="preserve">Spain vs Germany</t>
  </si>
  <si>
    <t xml:space="preserve">Canada vs England</t>
  </si>
  <si>
    <t xml:space="preserve">USA vs Canada</t>
  </si>
  <si>
    <t xml:space="preserve">USA vs Argentina</t>
  </si>
  <si>
    <t xml:space="preserve">Scotland vs Brazil</t>
  </si>
  <si>
    <t xml:space="preserve">Scotland vs Portugal</t>
  </si>
  <si>
    <t xml:space="preserve">Mexico vs Argentina</t>
  </si>
  <si>
    <t xml:space="preserve">Mexico vs Canada</t>
  </si>
  <si>
    <t xml:space="preserve">Portugal vs Germany</t>
  </si>
  <si>
    <t xml:space="preserve">Scotland vs Spain</t>
  </si>
  <si>
    <t xml:space="preserve">Argentina vs England</t>
  </si>
  <si>
    <t xml:space="preserve">U11-U12 – Match Results</t>
  </si>
  <si>
    <t xml:space="preserve">U11-U12 League Tables</t>
  </si>
  <si>
    <t xml:space="preserve">U11-U12 Golden Boot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</si>
</sst>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"/>
    <numFmt numFmtId="166" formatCode="General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6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1F4E78"/>
        <bgColor rgb="FF003366"/>
      </patternFill>
    </fill>
    <fill>
      <patternFill patternType="solid">
        <fgColor rgb="FFFFF2A8"/>
        <bgColor rgb="FFEDF3FA"/>
      </patternFill>
    </fill>
    <fill>
      <patternFill patternType="solid">
        <fgColor rgb="FFEDF3FA"/>
        <bgColor rgb="FFFFFFFF"/>
      </patternFill>
    </fill>
    <fill>
      <patternFill patternType="solid">
        <fgColor rgb="FF2E7D32"/>
        <bgColor rgb="FF0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0B0B0"/>
      <rgbColor rgb="FF808080"/>
      <rgbColor rgb="FF9999FF"/>
      <rgbColor rgb="FF993366"/>
      <rgbColor rgb="FFEDF3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D54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C62828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I7" activeCellId="0" sqref="I7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15.56"/>
    <col collapsed="false" customWidth="true" hidden="false" outlineLevel="0" max="2" min="2" style="0" width="11.56"/>
    <col collapsed="false" customWidth="true" hidden="false" outlineLevel="0" max="13" min="13" style="1" width="8.88"/>
    <col collapsed="false" customWidth="true" hidden="false" outlineLevel="0" max="14" min="14" style="0" width="11.56"/>
    <col collapsed="false" customWidth="true" hidden="false" outlineLevel="0" max="16" min="16" style="0" width="13.33"/>
    <col collapsed="false" customWidth="true" hidden="false" outlineLevel="0" max="18" min="18" style="0" width="8.88"/>
    <col collapsed="false" customWidth="true" hidden="false" outlineLevel="0" max="19" min="19" style="0" width="12.22"/>
    <col collapsed="false" customWidth="true" hidden="false" outlineLevel="0" max="22" min="22" style="0" width="12"/>
  </cols>
  <sheetData>
    <row r="1" customFormat="false" ht="14.25" hidden="false" customHeight="false" outlineLevel="0" collapsed="false">
      <c r="A1" s="2" t="s">
        <v>0</v>
      </c>
      <c r="B1" s="3"/>
    </row>
    <row r="3" customFormat="false" ht="14.25" hidden="false" customHeight="false" outlineLevel="0" collapsed="false">
      <c r="A3" s="4"/>
      <c r="B3" s="5" t="s">
        <v>1</v>
      </c>
      <c r="M3" s="4"/>
      <c r="N3" s="6" t="s">
        <v>2</v>
      </c>
    </row>
    <row r="4" customFormat="false" ht="14.25" hidden="false" customHeight="false" outlineLevel="0" collapsed="false">
      <c r="A4" s="4"/>
      <c r="B4" s="7"/>
      <c r="M4" s="4"/>
      <c r="N4" s="7"/>
    </row>
    <row r="5" customFormat="false" ht="14.25" hidden="false" customHeight="false" outlineLevel="0" collapsed="false">
      <c r="A5" s="8" t="s">
        <v>3</v>
      </c>
      <c r="B5" s="7" t="s">
        <v>4</v>
      </c>
      <c r="M5" s="8" t="s">
        <v>5</v>
      </c>
      <c r="N5" s="7" t="s">
        <v>6</v>
      </c>
    </row>
    <row r="6" customFormat="false" ht="14.25" hidden="false" customHeight="false" outlineLevel="0" collapsed="false">
      <c r="A6" s="8" t="s">
        <v>7</v>
      </c>
      <c r="B6" s="7" t="s">
        <v>8</v>
      </c>
      <c r="M6" s="8" t="s">
        <v>9</v>
      </c>
      <c r="N6" s="7" t="s">
        <v>10</v>
      </c>
    </row>
    <row r="7" customFormat="false" ht="14.25" hidden="false" customHeight="false" outlineLevel="0" collapsed="false">
      <c r="A7" s="8" t="s">
        <v>11</v>
      </c>
      <c r="B7" s="7" t="s">
        <v>12</v>
      </c>
      <c r="M7" s="8" t="s">
        <v>13</v>
      </c>
      <c r="N7" s="7" t="s">
        <v>14</v>
      </c>
    </row>
    <row r="8" customFormat="false" ht="14.25" hidden="false" customHeight="false" outlineLevel="0" collapsed="false">
      <c r="A8" s="8" t="s">
        <v>15</v>
      </c>
      <c r="B8" s="7" t="s">
        <v>16</v>
      </c>
      <c r="M8" s="8" t="s">
        <v>17</v>
      </c>
      <c r="N8" s="7" t="s">
        <v>18</v>
      </c>
    </row>
    <row r="9" customFormat="false" ht="14.25" hidden="false" customHeight="false" outlineLevel="0" collapsed="false">
      <c r="A9" s="8" t="s">
        <v>19</v>
      </c>
      <c r="B9" s="7" t="s">
        <v>20</v>
      </c>
      <c r="M9" s="8" t="s">
        <v>21</v>
      </c>
      <c r="N9" s="7" t="s">
        <v>22</v>
      </c>
    </row>
    <row r="10" customFormat="false" ht="14.25" hidden="false" customHeight="false" outlineLevel="0" collapsed="false">
      <c r="A10" s="8" t="s">
        <v>23</v>
      </c>
      <c r="B10" s="7" t="s">
        <v>24</v>
      </c>
      <c r="M10" s="8" t="s">
        <v>25</v>
      </c>
      <c r="N10" s="7" t="s">
        <v>26</v>
      </c>
    </row>
    <row r="12" customFormat="false" ht="14.25" hidden="false" customHeight="false" outlineLevel="0" collapsed="false">
      <c r="B12" s="9" t="n">
        <v>0.4375</v>
      </c>
      <c r="C12" s="10" t="s">
        <v>27</v>
      </c>
      <c r="E12" s="9" t="n">
        <v>0.458333333333333</v>
      </c>
      <c r="F12" s="10" t="s">
        <v>28</v>
      </c>
      <c r="H12" s="9" t="n">
        <v>0.479166666666667</v>
      </c>
      <c r="I12" s="10" t="s">
        <v>29</v>
      </c>
      <c r="N12" s="9" t="n">
        <v>0.4375</v>
      </c>
      <c r="O12" s="10" t="s">
        <v>30</v>
      </c>
      <c r="Q12" s="9" t="n">
        <v>0.458333333333333</v>
      </c>
      <c r="R12" s="10" t="s">
        <v>31</v>
      </c>
      <c r="T12" s="9" t="n">
        <v>0.479166666666667</v>
      </c>
      <c r="U12" s="10" t="s">
        <v>32</v>
      </c>
    </row>
    <row r="13" customFormat="false" ht="14.25" hidden="false" customHeight="false" outlineLevel="0" collapsed="false">
      <c r="B13" s="9" t="n">
        <v>0.4375</v>
      </c>
      <c r="C13" s="10" t="s">
        <v>33</v>
      </c>
      <c r="E13" s="9" t="n">
        <v>0.458333333333333</v>
      </c>
      <c r="F13" s="10" t="s">
        <v>34</v>
      </c>
      <c r="H13" s="9" t="n">
        <v>0.479166666666667</v>
      </c>
      <c r="I13" s="10" t="s">
        <v>35</v>
      </c>
      <c r="N13" s="9" t="n">
        <v>0.4375</v>
      </c>
      <c r="O13" s="10" t="s">
        <v>36</v>
      </c>
      <c r="Q13" s="9" t="n">
        <v>0.458333333333333</v>
      </c>
      <c r="R13" s="10" t="s">
        <v>37</v>
      </c>
      <c r="T13" s="9" t="n">
        <v>0.479166666666667</v>
      </c>
      <c r="U13" s="10" t="s">
        <v>38</v>
      </c>
    </row>
    <row r="14" customFormat="false" ht="14.25" hidden="false" customHeight="false" outlineLevel="0" collapsed="false">
      <c r="B14" s="3"/>
      <c r="E14" s="3"/>
      <c r="H14" s="3"/>
      <c r="N14" s="3"/>
      <c r="Q14" s="3"/>
      <c r="T14" s="3"/>
    </row>
    <row r="15" customFormat="false" ht="14.25" hidden="false" customHeight="false" outlineLevel="0" collapsed="false">
      <c r="B15" s="9" t="n">
        <v>0.444444444444444</v>
      </c>
      <c r="C15" s="10" t="s">
        <v>39</v>
      </c>
      <c r="E15" s="9" t="n">
        <v>0.465277777777778</v>
      </c>
      <c r="F15" s="10" t="s">
        <v>40</v>
      </c>
      <c r="H15" s="9" t="n">
        <v>0.486111111111111</v>
      </c>
      <c r="I15" s="10" t="s">
        <v>41</v>
      </c>
      <c r="N15" s="9" t="n">
        <v>0.444444444444444</v>
      </c>
      <c r="O15" s="10" t="s">
        <v>42</v>
      </c>
      <c r="Q15" s="9" t="n">
        <v>0.465277777777778</v>
      </c>
      <c r="R15" s="10" t="s">
        <v>43</v>
      </c>
      <c r="T15" s="9" t="n">
        <v>0.486111111111111</v>
      </c>
      <c r="U15" s="10" t="s">
        <v>44</v>
      </c>
    </row>
    <row r="16" customFormat="false" ht="14.25" hidden="false" customHeight="false" outlineLevel="0" collapsed="false">
      <c r="B16" s="9" t="n">
        <v>0.444444444444444</v>
      </c>
      <c r="C16" s="10" t="s">
        <v>45</v>
      </c>
      <c r="E16" s="9" t="n">
        <v>0.465277777777778</v>
      </c>
      <c r="F16" s="10" t="s">
        <v>46</v>
      </c>
      <c r="H16" s="9"/>
      <c r="N16" s="9" t="n">
        <v>0.444444444444444</v>
      </c>
      <c r="O16" s="10" t="s">
        <v>47</v>
      </c>
      <c r="Q16" s="9" t="n">
        <v>0.465277777777778</v>
      </c>
      <c r="R16" s="10" t="s">
        <v>48</v>
      </c>
      <c r="T16" s="3"/>
      <c r="W16" s="11"/>
    </row>
    <row r="17" customFormat="false" ht="14.25" hidden="false" customHeight="false" outlineLevel="0" collapsed="false">
      <c r="B17" s="3"/>
      <c r="E17" s="3"/>
      <c r="K17" s="11"/>
      <c r="N17" s="3"/>
      <c r="Q17" s="3"/>
    </row>
    <row r="18" customFormat="false" ht="14.25" hidden="false" customHeight="false" outlineLevel="0" collapsed="false">
      <c r="B18" s="9" t="n">
        <v>0.451388888888889</v>
      </c>
      <c r="C18" s="10" t="s">
        <v>49</v>
      </c>
      <c r="E18" s="9" t="n">
        <v>0.472222222222222</v>
      </c>
      <c r="F18" s="10" t="s">
        <v>50</v>
      </c>
      <c r="N18" s="9" t="n">
        <v>0.451388888888889</v>
      </c>
      <c r="O18" s="10" t="s">
        <v>51</v>
      </c>
      <c r="Q18" s="9" t="n">
        <v>0.472222222222222</v>
      </c>
      <c r="R18" s="10" t="s">
        <v>52</v>
      </c>
    </row>
    <row r="19" customFormat="false" ht="14.25" hidden="false" customHeight="false" outlineLevel="0" collapsed="false">
      <c r="B19" s="9" t="n">
        <v>0.451388888888889</v>
      </c>
      <c r="C19" s="10" t="s">
        <v>53</v>
      </c>
      <c r="E19" s="9" t="n">
        <v>0.472222222222222</v>
      </c>
      <c r="F19" s="10" t="s">
        <v>54</v>
      </c>
      <c r="N19" s="9" t="n">
        <v>0.451388888888889</v>
      </c>
      <c r="O19" s="10" t="s">
        <v>55</v>
      </c>
      <c r="Q19" s="9" t="n">
        <v>0.472222222222222</v>
      </c>
      <c r="R19" s="10" t="s">
        <v>56</v>
      </c>
    </row>
    <row r="20" customFormat="false" ht="14.25" hidden="false" customHeight="false" outlineLevel="0" collapsed="false">
      <c r="A20" s="12"/>
      <c r="B20" s="13"/>
      <c r="C20" s="13"/>
      <c r="D20" s="13"/>
      <c r="E20" s="13"/>
      <c r="F20" s="13"/>
      <c r="G20" s="13"/>
      <c r="H20" s="13"/>
      <c r="I20" s="13"/>
      <c r="J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customFormat="false" ht="14.25" hidden="false" customHeight="false" outlineLevel="0" collapsed="false">
      <c r="A21" s="12"/>
      <c r="B21" s="13"/>
      <c r="C21" s="13"/>
      <c r="D21" s="13"/>
      <c r="E21" s="13"/>
      <c r="F21" s="13"/>
      <c r="G21" s="13"/>
      <c r="H21" s="13"/>
      <c r="I21" s="13"/>
      <c r="J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customFormat="false" ht="14.25" hidden="false" customHeight="false" outlineLevel="0" collapsed="false">
      <c r="B22" s="9" t="n">
        <v>0.493055555555556</v>
      </c>
      <c r="C22" s="10" t="s">
        <v>57</v>
      </c>
      <c r="E22" s="9" t="n">
        <v>0.555555555555556</v>
      </c>
      <c r="F22" s="10" t="s">
        <v>58</v>
      </c>
      <c r="H22" s="9" t="n">
        <v>0.576388888888889</v>
      </c>
      <c r="I22" s="10" t="s">
        <v>29</v>
      </c>
      <c r="N22" s="9" t="n">
        <v>0.493055555555556</v>
      </c>
      <c r="O22" s="10" t="s">
        <v>59</v>
      </c>
      <c r="Q22" s="9" t="n">
        <v>0.555555555555556</v>
      </c>
      <c r="R22" s="10" t="s">
        <v>60</v>
      </c>
      <c r="T22" s="9" t="n">
        <v>0.576388888888889</v>
      </c>
      <c r="U22" s="10" t="s">
        <v>61</v>
      </c>
    </row>
    <row r="23" customFormat="false" ht="14.25" hidden="false" customHeight="false" outlineLevel="0" collapsed="false">
      <c r="B23" s="9" t="n">
        <v>0.493055555555556</v>
      </c>
      <c r="C23" s="10" t="s">
        <v>62</v>
      </c>
      <c r="E23" s="9" t="n">
        <v>0.555555555555556</v>
      </c>
      <c r="F23" s="10" t="s">
        <v>63</v>
      </c>
      <c r="H23" s="9" t="n">
        <v>0.576388888888889</v>
      </c>
      <c r="I23" s="10" t="s">
        <v>64</v>
      </c>
      <c r="N23" s="9" t="n">
        <v>0.493055555555556</v>
      </c>
      <c r="O23" s="10" t="s">
        <v>65</v>
      </c>
      <c r="Q23" s="9" t="n">
        <v>0.555555555555556</v>
      </c>
      <c r="R23" s="10" t="s">
        <v>66</v>
      </c>
      <c r="T23" s="9" t="n">
        <v>0.576388888888889</v>
      </c>
      <c r="U23" s="10" t="s">
        <v>67</v>
      </c>
    </row>
    <row r="24" customFormat="false" ht="14.25" hidden="false" customHeight="false" outlineLevel="0" collapsed="false">
      <c r="B24" s="3"/>
      <c r="E24" s="3"/>
      <c r="H24" s="3"/>
      <c r="N24" s="3"/>
      <c r="Q24" s="3"/>
      <c r="T24" s="3"/>
    </row>
    <row r="25" customFormat="false" ht="14.25" hidden="false" customHeight="false" outlineLevel="0" collapsed="false">
      <c r="B25" s="9" t="n">
        <v>0.541666666666667</v>
      </c>
      <c r="C25" s="10" t="s">
        <v>68</v>
      </c>
      <c r="E25" s="9" t="n">
        <v>0.5625</v>
      </c>
      <c r="F25" s="10" t="s">
        <v>69</v>
      </c>
      <c r="H25" s="9" t="n">
        <v>0.583333333333333</v>
      </c>
      <c r="I25" s="10" t="s">
        <v>70</v>
      </c>
      <c r="N25" s="9" t="n">
        <v>0.541666666666667</v>
      </c>
      <c r="O25" s="10" t="s">
        <v>71</v>
      </c>
      <c r="Q25" s="9" t="n">
        <v>0.5625</v>
      </c>
      <c r="R25" s="10" t="s">
        <v>72</v>
      </c>
      <c r="T25" s="9" t="n">
        <v>0.583333333333333</v>
      </c>
      <c r="U25" s="10" t="s">
        <v>73</v>
      </c>
    </row>
    <row r="26" customFormat="false" ht="14.25" hidden="false" customHeight="false" outlineLevel="0" collapsed="false">
      <c r="B26" s="9" t="n">
        <v>0.541666666666667</v>
      </c>
      <c r="C26" s="10" t="s">
        <v>74</v>
      </c>
      <c r="E26" s="9" t="n">
        <v>0.5625</v>
      </c>
      <c r="F26" s="10" t="s">
        <v>75</v>
      </c>
      <c r="N26" s="9" t="n">
        <v>0.541666666666667</v>
      </c>
      <c r="O26" s="10" t="s">
        <v>76</v>
      </c>
      <c r="Q26" s="9" t="n">
        <v>0.5625</v>
      </c>
      <c r="R26" s="10" t="s">
        <v>77</v>
      </c>
    </row>
    <row r="27" customFormat="false" ht="14.25" hidden="false" customHeight="false" outlineLevel="0" collapsed="false">
      <c r="B27" s="3"/>
      <c r="E27" s="3"/>
      <c r="N27" s="3"/>
      <c r="Q27" s="3"/>
    </row>
    <row r="28" customFormat="false" ht="14.25" hidden="false" customHeight="false" outlineLevel="0" collapsed="false">
      <c r="B28" s="9" t="n">
        <v>0.548611111111111</v>
      </c>
      <c r="C28" s="10" t="s">
        <v>78</v>
      </c>
      <c r="E28" s="9" t="n">
        <v>0.569444444444444</v>
      </c>
      <c r="F28" s="10" t="s">
        <v>79</v>
      </c>
      <c r="N28" s="9" t="n">
        <v>0.548611111111111</v>
      </c>
      <c r="O28" s="10" t="s">
        <v>80</v>
      </c>
      <c r="Q28" s="9" t="n">
        <v>0.569444444444444</v>
      </c>
      <c r="R28" s="10" t="s">
        <v>81</v>
      </c>
    </row>
    <row r="29" customFormat="false" ht="14.25" hidden="false" customHeight="false" outlineLevel="0" collapsed="false">
      <c r="B29" s="9" t="n">
        <v>0.548611111111111</v>
      </c>
      <c r="C29" s="10" t="s">
        <v>82</v>
      </c>
      <c r="E29" s="9" t="n">
        <v>0.569444444444444</v>
      </c>
      <c r="F29" s="10" t="s">
        <v>54</v>
      </c>
      <c r="N29" s="9" t="n">
        <v>0.548611111111111</v>
      </c>
      <c r="O29" s="10" t="s">
        <v>83</v>
      </c>
      <c r="Q29" s="9" t="n">
        <v>0.569444444444444</v>
      </c>
      <c r="R29" s="10" t="s">
        <v>84</v>
      </c>
    </row>
    <row r="31" customFormat="false" ht="14.25" hidden="false" customHeight="false" outlineLevel="0" collapsed="false">
      <c r="E31" s="3"/>
    </row>
    <row r="32" customFormat="false" ht="14.25" hidden="false" customHeight="false" outlineLevel="0" collapsed="false">
      <c r="E3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54F"/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4" t="s">
        <v>85</v>
      </c>
    </row>
    <row r="2" customFormat="false" ht="15" hidden="false" customHeight="false" outlineLevel="0" collapsed="false">
      <c r="A2" s="15" t="s">
        <v>86</v>
      </c>
    </row>
    <row r="4" customFormat="false" ht="15" hidden="false" customHeight="false" outlineLevel="0" collapsed="false">
      <c r="A4" s="16" t="s">
        <v>87</v>
      </c>
      <c r="B4" s="16" t="s">
        <v>88</v>
      </c>
      <c r="C4" s="16" t="s">
        <v>89</v>
      </c>
      <c r="D4" s="16" t="s">
        <v>90</v>
      </c>
      <c r="E4" s="16" t="s">
        <v>91</v>
      </c>
      <c r="F4" s="16" t="s">
        <v>92</v>
      </c>
    </row>
    <row r="5" customFormat="false" ht="15" hidden="false" customHeight="false" outlineLevel="0" collapsed="false">
      <c r="A5" s="17" t="s">
        <v>1</v>
      </c>
      <c r="B5" s="18" t="n">
        <v>0.4375</v>
      </c>
      <c r="C5" s="19" t="s">
        <v>4</v>
      </c>
      <c r="D5" s="20"/>
      <c r="E5" s="20"/>
      <c r="F5" s="19" t="s">
        <v>8</v>
      </c>
    </row>
    <row r="6" customFormat="false" ht="15" hidden="false" customHeight="false" outlineLevel="0" collapsed="false">
      <c r="A6" s="17" t="s">
        <v>1</v>
      </c>
      <c r="B6" s="18" t="n">
        <v>0.4375</v>
      </c>
      <c r="C6" s="19" t="s">
        <v>12</v>
      </c>
      <c r="D6" s="20"/>
      <c r="E6" s="20"/>
      <c r="F6" s="19" t="s">
        <v>16</v>
      </c>
    </row>
    <row r="7" customFormat="false" ht="15" hidden="false" customHeight="false" outlineLevel="0" collapsed="false">
      <c r="A7" s="17" t="s">
        <v>1</v>
      </c>
      <c r="B7" s="18" t="n">
        <v>0.444444444444444</v>
      </c>
      <c r="C7" s="19" t="s">
        <v>4</v>
      </c>
      <c r="D7" s="20"/>
      <c r="E7" s="20"/>
      <c r="F7" s="19" t="s">
        <v>20</v>
      </c>
    </row>
    <row r="8" customFormat="false" ht="15" hidden="false" customHeight="false" outlineLevel="0" collapsed="false">
      <c r="A8" s="17" t="s">
        <v>1</v>
      </c>
      <c r="B8" s="18" t="n">
        <v>0.444444444444444</v>
      </c>
      <c r="C8" s="19" t="s">
        <v>8</v>
      </c>
      <c r="D8" s="20"/>
      <c r="E8" s="20"/>
      <c r="F8" s="19" t="s">
        <v>24</v>
      </c>
    </row>
    <row r="9" customFormat="false" ht="15" hidden="false" customHeight="false" outlineLevel="0" collapsed="false">
      <c r="A9" s="17" t="s">
        <v>1</v>
      </c>
      <c r="B9" s="18" t="n">
        <v>0.451388888888889</v>
      </c>
      <c r="C9" s="19" t="s">
        <v>12</v>
      </c>
      <c r="D9" s="20"/>
      <c r="E9" s="20"/>
      <c r="F9" s="19" t="s">
        <v>20</v>
      </c>
    </row>
    <row r="10" customFormat="false" ht="15" hidden="false" customHeight="false" outlineLevel="0" collapsed="false">
      <c r="A10" s="17" t="s">
        <v>1</v>
      </c>
      <c r="B10" s="18" t="n">
        <v>0.451388888888889</v>
      </c>
      <c r="C10" s="19" t="s">
        <v>16</v>
      </c>
      <c r="D10" s="20"/>
      <c r="E10" s="20"/>
      <c r="F10" s="19" t="s">
        <v>24</v>
      </c>
    </row>
    <row r="11" customFormat="false" ht="15" hidden="false" customHeight="false" outlineLevel="0" collapsed="false">
      <c r="A11" s="17" t="s">
        <v>1</v>
      </c>
      <c r="B11" s="18" t="n">
        <v>0.458333333333333</v>
      </c>
      <c r="C11" s="19" t="s">
        <v>4</v>
      </c>
      <c r="D11" s="20"/>
      <c r="E11" s="20"/>
      <c r="F11" s="19" t="s">
        <v>12</v>
      </c>
    </row>
    <row r="12" customFormat="false" ht="15" hidden="false" customHeight="false" outlineLevel="0" collapsed="false">
      <c r="A12" s="17" t="s">
        <v>1</v>
      </c>
      <c r="B12" s="18" t="n">
        <v>0.458333333333333</v>
      </c>
      <c r="C12" s="19" t="s">
        <v>8</v>
      </c>
      <c r="D12" s="20"/>
      <c r="E12" s="20"/>
      <c r="F12" s="19" t="s">
        <v>16</v>
      </c>
    </row>
    <row r="13" customFormat="false" ht="15" hidden="false" customHeight="false" outlineLevel="0" collapsed="false">
      <c r="A13" s="17" t="s">
        <v>1</v>
      </c>
      <c r="B13" s="18" t="n">
        <v>0.465277777777778</v>
      </c>
      <c r="C13" s="19" t="s">
        <v>4</v>
      </c>
      <c r="D13" s="20"/>
      <c r="E13" s="20"/>
      <c r="F13" s="19" t="s">
        <v>24</v>
      </c>
    </row>
    <row r="14" customFormat="false" ht="15" hidden="false" customHeight="false" outlineLevel="0" collapsed="false">
      <c r="A14" s="17" t="s">
        <v>1</v>
      </c>
      <c r="B14" s="18" t="n">
        <v>0.465277777777778</v>
      </c>
      <c r="C14" s="19" t="s">
        <v>8</v>
      </c>
      <c r="D14" s="20"/>
      <c r="E14" s="20"/>
      <c r="F14" s="19" t="s">
        <v>20</v>
      </c>
    </row>
    <row r="15" customFormat="false" ht="15" hidden="false" customHeight="false" outlineLevel="0" collapsed="false">
      <c r="A15" s="17" t="s">
        <v>1</v>
      </c>
      <c r="B15" s="18" t="n">
        <v>0.472222222222222</v>
      </c>
      <c r="C15" s="19" t="s">
        <v>12</v>
      </c>
      <c r="D15" s="20"/>
      <c r="E15" s="20"/>
      <c r="F15" s="19" t="s">
        <v>24</v>
      </c>
    </row>
    <row r="16" customFormat="false" ht="15" hidden="false" customHeight="false" outlineLevel="0" collapsed="false">
      <c r="A16" s="17" t="s">
        <v>1</v>
      </c>
      <c r="B16" s="18" t="n">
        <v>0.472222222222222</v>
      </c>
      <c r="C16" s="19" t="s">
        <v>16</v>
      </c>
      <c r="D16" s="20"/>
      <c r="E16" s="20"/>
      <c r="F16" s="19" t="s">
        <v>20</v>
      </c>
    </row>
    <row r="17" customFormat="false" ht="15" hidden="false" customHeight="false" outlineLevel="0" collapsed="false">
      <c r="A17" s="17" t="s">
        <v>1</v>
      </c>
      <c r="B17" s="18" t="n">
        <v>0.479166666666667</v>
      </c>
      <c r="C17" s="19" t="s">
        <v>4</v>
      </c>
      <c r="D17" s="20"/>
      <c r="E17" s="20"/>
      <c r="F17" s="19" t="s">
        <v>16</v>
      </c>
    </row>
    <row r="18" customFormat="false" ht="15" hidden="false" customHeight="false" outlineLevel="0" collapsed="false">
      <c r="A18" s="17" t="s">
        <v>1</v>
      </c>
      <c r="B18" s="18" t="n">
        <v>0.479166666666667</v>
      </c>
      <c r="C18" s="19" t="s">
        <v>8</v>
      </c>
      <c r="D18" s="20"/>
      <c r="E18" s="20"/>
      <c r="F18" s="19" t="s">
        <v>12</v>
      </c>
    </row>
    <row r="19" customFormat="false" ht="15" hidden="false" customHeight="false" outlineLevel="0" collapsed="false">
      <c r="A19" s="17" t="s">
        <v>1</v>
      </c>
      <c r="B19" s="18" t="n">
        <v>0.486111111111111</v>
      </c>
      <c r="C19" s="19" t="s">
        <v>20</v>
      </c>
      <c r="D19" s="20"/>
      <c r="E19" s="20"/>
      <c r="F19" s="19" t="s">
        <v>24</v>
      </c>
    </row>
    <row r="20" customFormat="false" ht="15" hidden="false" customHeight="false" outlineLevel="0" collapsed="false">
      <c r="A20" s="17" t="s">
        <v>1</v>
      </c>
      <c r="B20" s="18" t="n">
        <v>0.493055555555556</v>
      </c>
      <c r="C20" s="19" t="s">
        <v>8</v>
      </c>
      <c r="D20" s="20"/>
      <c r="E20" s="20"/>
      <c r="F20" s="19" t="s">
        <v>4</v>
      </c>
    </row>
    <row r="21" customFormat="false" ht="15" hidden="false" customHeight="false" outlineLevel="0" collapsed="false">
      <c r="A21" s="17" t="s">
        <v>1</v>
      </c>
      <c r="B21" s="18" t="n">
        <v>0.493055555555556</v>
      </c>
      <c r="C21" s="19" t="s">
        <v>16</v>
      </c>
      <c r="D21" s="20"/>
      <c r="E21" s="20"/>
      <c r="F21" s="19" t="s">
        <v>12</v>
      </c>
    </row>
    <row r="22" customFormat="false" ht="15" hidden="false" customHeight="false" outlineLevel="0" collapsed="false">
      <c r="A22" s="17" t="s">
        <v>1</v>
      </c>
      <c r="B22" s="18" t="n">
        <v>0.541666666666667</v>
      </c>
      <c r="C22" s="19" t="s">
        <v>20</v>
      </c>
      <c r="D22" s="20"/>
      <c r="E22" s="20"/>
      <c r="F22" s="19" t="s">
        <v>4</v>
      </c>
    </row>
    <row r="23" customFormat="false" ht="15" hidden="false" customHeight="false" outlineLevel="0" collapsed="false">
      <c r="A23" s="17" t="s">
        <v>1</v>
      </c>
      <c r="B23" s="18" t="n">
        <v>0.541666666666667</v>
      </c>
      <c r="C23" s="19" t="s">
        <v>24</v>
      </c>
      <c r="D23" s="20"/>
      <c r="E23" s="20"/>
      <c r="F23" s="19" t="s">
        <v>8</v>
      </c>
    </row>
    <row r="24" customFormat="false" ht="15" hidden="false" customHeight="false" outlineLevel="0" collapsed="false">
      <c r="A24" s="17" t="s">
        <v>1</v>
      </c>
      <c r="B24" s="18" t="n">
        <v>0.548611111111111</v>
      </c>
      <c r="C24" s="19" t="s">
        <v>20</v>
      </c>
      <c r="D24" s="20"/>
      <c r="E24" s="20"/>
      <c r="F24" s="19" t="s">
        <v>12</v>
      </c>
    </row>
    <row r="25" customFormat="false" ht="15" hidden="false" customHeight="false" outlineLevel="0" collapsed="false">
      <c r="A25" s="17" t="s">
        <v>1</v>
      </c>
      <c r="B25" s="18" t="n">
        <v>0.548611111111111</v>
      </c>
      <c r="C25" s="19" t="s">
        <v>24</v>
      </c>
      <c r="D25" s="20"/>
      <c r="E25" s="20"/>
      <c r="F25" s="19" t="s">
        <v>16</v>
      </c>
    </row>
    <row r="26" customFormat="false" ht="15" hidden="false" customHeight="false" outlineLevel="0" collapsed="false">
      <c r="A26" s="17" t="s">
        <v>1</v>
      </c>
      <c r="B26" s="18" t="n">
        <v>0.555555555555556</v>
      </c>
      <c r="C26" s="19" t="s">
        <v>12</v>
      </c>
      <c r="D26" s="20"/>
      <c r="E26" s="20"/>
      <c r="F26" s="19" t="s">
        <v>4</v>
      </c>
    </row>
    <row r="27" customFormat="false" ht="15" hidden="false" customHeight="false" outlineLevel="0" collapsed="false">
      <c r="A27" s="17" t="s">
        <v>1</v>
      </c>
      <c r="B27" s="18" t="n">
        <v>0.555555555555556</v>
      </c>
      <c r="C27" s="19" t="s">
        <v>16</v>
      </c>
      <c r="D27" s="20"/>
      <c r="E27" s="20"/>
      <c r="F27" s="19" t="s">
        <v>8</v>
      </c>
    </row>
    <row r="28" customFormat="false" ht="15" hidden="false" customHeight="false" outlineLevel="0" collapsed="false">
      <c r="A28" s="17" t="s">
        <v>1</v>
      </c>
      <c r="B28" s="18" t="n">
        <v>0.5625</v>
      </c>
      <c r="C28" s="19" t="s">
        <v>24</v>
      </c>
      <c r="D28" s="20"/>
      <c r="E28" s="20"/>
      <c r="F28" s="19" t="s">
        <v>4</v>
      </c>
    </row>
    <row r="29" customFormat="false" ht="15" hidden="false" customHeight="false" outlineLevel="0" collapsed="false">
      <c r="A29" s="17" t="s">
        <v>1</v>
      </c>
      <c r="B29" s="18" t="n">
        <v>0.5625</v>
      </c>
      <c r="C29" s="19" t="s">
        <v>20</v>
      </c>
      <c r="D29" s="20"/>
      <c r="E29" s="20"/>
      <c r="F29" s="19" t="s">
        <v>8</v>
      </c>
    </row>
    <row r="30" customFormat="false" ht="15" hidden="false" customHeight="false" outlineLevel="0" collapsed="false">
      <c r="A30" s="17" t="s">
        <v>1</v>
      </c>
      <c r="B30" s="18" t="n">
        <v>0.569444444444444</v>
      </c>
      <c r="C30" s="19" t="s">
        <v>24</v>
      </c>
      <c r="D30" s="20"/>
      <c r="E30" s="20"/>
      <c r="F30" s="19" t="s">
        <v>12</v>
      </c>
    </row>
    <row r="31" customFormat="false" ht="15" hidden="false" customHeight="false" outlineLevel="0" collapsed="false">
      <c r="A31" s="17" t="s">
        <v>1</v>
      </c>
      <c r="B31" s="18" t="n">
        <v>0.569444444444444</v>
      </c>
      <c r="C31" s="19" t="s">
        <v>16</v>
      </c>
      <c r="D31" s="20"/>
      <c r="E31" s="20"/>
      <c r="F31" s="19" t="s">
        <v>20</v>
      </c>
    </row>
    <row r="32" customFormat="false" ht="15" hidden="false" customHeight="false" outlineLevel="0" collapsed="false">
      <c r="A32" s="17" t="s">
        <v>1</v>
      </c>
      <c r="B32" s="18" t="n">
        <v>0.576388888888889</v>
      </c>
      <c r="C32" s="19" t="s">
        <v>4</v>
      </c>
      <c r="D32" s="20"/>
      <c r="E32" s="20"/>
      <c r="F32" s="19" t="s">
        <v>16</v>
      </c>
    </row>
    <row r="33" customFormat="false" ht="15" hidden="false" customHeight="false" outlineLevel="0" collapsed="false">
      <c r="A33" s="17" t="s">
        <v>1</v>
      </c>
      <c r="B33" s="18" t="n">
        <v>0.576388888888889</v>
      </c>
      <c r="C33" s="19" t="s">
        <v>12</v>
      </c>
      <c r="D33" s="20"/>
      <c r="E33" s="20"/>
      <c r="F33" s="19" t="s">
        <v>8</v>
      </c>
    </row>
    <row r="34" customFormat="false" ht="15" hidden="false" customHeight="false" outlineLevel="0" collapsed="false">
      <c r="A34" s="17" t="s">
        <v>1</v>
      </c>
      <c r="B34" s="18" t="n">
        <v>0.583333333333333</v>
      </c>
      <c r="C34" s="19" t="s">
        <v>24</v>
      </c>
      <c r="D34" s="20"/>
      <c r="E34" s="20"/>
      <c r="F34" s="19" t="s">
        <v>20</v>
      </c>
    </row>
    <row r="35" customFormat="false" ht="15" hidden="false" customHeight="false" outlineLevel="0" collapsed="false">
      <c r="A35" s="21" t="s">
        <v>2</v>
      </c>
      <c r="B35" s="22" t="n">
        <v>0.4375</v>
      </c>
      <c r="C35" s="23" t="s">
        <v>6</v>
      </c>
      <c r="D35" s="20"/>
      <c r="E35" s="20"/>
      <c r="F35" s="23" t="s">
        <v>26</v>
      </c>
    </row>
    <row r="36" customFormat="false" ht="15" hidden="false" customHeight="false" outlineLevel="0" collapsed="false">
      <c r="A36" s="21" t="s">
        <v>2</v>
      </c>
      <c r="B36" s="22" t="n">
        <v>0.4375</v>
      </c>
      <c r="C36" s="23" t="s">
        <v>10</v>
      </c>
      <c r="D36" s="20"/>
      <c r="E36" s="20"/>
      <c r="F36" s="23" t="s">
        <v>22</v>
      </c>
    </row>
    <row r="37" customFormat="false" ht="15" hidden="false" customHeight="false" outlineLevel="0" collapsed="false">
      <c r="A37" s="21" t="s">
        <v>2</v>
      </c>
      <c r="B37" s="22" t="n">
        <v>0.444444444444444</v>
      </c>
      <c r="C37" s="23" t="s">
        <v>14</v>
      </c>
      <c r="D37" s="20"/>
      <c r="E37" s="20"/>
      <c r="F37" s="23" t="s">
        <v>18</v>
      </c>
    </row>
    <row r="38" customFormat="false" ht="15" hidden="false" customHeight="false" outlineLevel="0" collapsed="false">
      <c r="A38" s="21" t="s">
        <v>2</v>
      </c>
      <c r="B38" s="22" t="n">
        <v>0.444444444444444</v>
      </c>
      <c r="C38" s="23" t="s">
        <v>6</v>
      </c>
      <c r="D38" s="20"/>
      <c r="E38" s="20"/>
      <c r="F38" s="23" t="s">
        <v>22</v>
      </c>
    </row>
    <row r="39" customFormat="false" ht="15" hidden="false" customHeight="false" outlineLevel="0" collapsed="false">
      <c r="A39" s="21" t="s">
        <v>2</v>
      </c>
      <c r="B39" s="22" t="n">
        <v>0.451388888888889</v>
      </c>
      <c r="C39" s="23" t="s">
        <v>10</v>
      </c>
      <c r="D39" s="20"/>
      <c r="E39" s="20"/>
      <c r="F39" s="23" t="s">
        <v>14</v>
      </c>
    </row>
    <row r="40" customFormat="false" ht="15" hidden="false" customHeight="false" outlineLevel="0" collapsed="false">
      <c r="A40" s="21" t="s">
        <v>2</v>
      </c>
      <c r="B40" s="22" t="n">
        <v>0.451388888888889</v>
      </c>
      <c r="C40" s="23" t="s">
        <v>18</v>
      </c>
      <c r="D40" s="20"/>
      <c r="E40" s="20"/>
      <c r="F40" s="23" t="s">
        <v>26</v>
      </c>
    </row>
    <row r="41" customFormat="false" ht="15" hidden="false" customHeight="false" outlineLevel="0" collapsed="false">
      <c r="A41" s="21" t="s">
        <v>2</v>
      </c>
      <c r="B41" s="22" t="n">
        <v>0.458333333333333</v>
      </c>
      <c r="C41" s="23" t="s">
        <v>6</v>
      </c>
      <c r="D41" s="20"/>
      <c r="E41" s="20"/>
      <c r="F41" s="23" t="s">
        <v>18</v>
      </c>
    </row>
    <row r="42" customFormat="false" ht="15" hidden="false" customHeight="false" outlineLevel="0" collapsed="false">
      <c r="A42" s="21" t="s">
        <v>2</v>
      </c>
      <c r="B42" s="22" t="n">
        <v>0.458333333333333</v>
      </c>
      <c r="C42" s="23" t="s">
        <v>22</v>
      </c>
      <c r="D42" s="20"/>
      <c r="E42" s="20"/>
      <c r="F42" s="23" t="s">
        <v>26</v>
      </c>
    </row>
    <row r="43" customFormat="false" ht="15" hidden="false" customHeight="false" outlineLevel="0" collapsed="false">
      <c r="A43" s="21" t="s">
        <v>2</v>
      </c>
      <c r="B43" s="22" t="n">
        <v>0.465277777777778</v>
      </c>
      <c r="C43" s="23" t="s">
        <v>6</v>
      </c>
      <c r="D43" s="20"/>
      <c r="E43" s="20"/>
      <c r="F43" s="23" t="s">
        <v>14</v>
      </c>
    </row>
    <row r="44" customFormat="false" ht="15" hidden="false" customHeight="false" outlineLevel="0" collapsed="false">
      <c r="A44" s="21" t="s">
        <v>2</v>
      </c>
      <c r="B44" s="22" t="n">
        <v>0.465277777777778</v>
      </c>
      <c r="C44" s="23" t="s">
        <v>10</v>
      </c>
      <c r="D44" s="20"/>
      <c r="E44" s="20"/>
      <c r="F44" s="23" t="s">
        <v>26</v>
      </c>
    </row>
    <row r="45" customFormat="false" ht="15" hidden="false" customHeight="false" outlineLevel="0" collapsed="false">
      <c r="A45" s="21" t="s">
        <v>2</v>
      </c>
      <c r="B45" s="22" t="n">
        <v>0.472222222222222</v>
      </c>
      <c r="C45" s="23" t="s">
        <v>10</v>
      </c>
      <c r="D45" s="20"/>
      <c r="E45" s="20"/>
      <c r="F45" s="23" t="s">
        <v>18</v>
      </c>
    </row>
    <row r="46" customFormat="false" ht="15" hidden="false" customHeight="false" outlineLevel="0" collapsed="false">
      <c r="A46" s="21" t="s">
        <v>2</v>
      </c>
      <c r="B46" s="22" t="n">
        <v>0.472222222222222</v>
      </c>
      <c r="C46" s="23" t="s">
        <v>14</v>
      </c>
      <c r="D46" s="20"/>
      <c r="E46" s="20"/>
      <c r="F46" s="23" t="s">
        <v>22</v>
      </c>
    </row>
    <row r="47" customFormat="false" ht="15" hidden="false" customHeight="false" outlineLevel="0" collapsed="false">
      <c r="A47" s="21" t="s">
        <v>2</v>
      </c>
      <c r="B47" s="22" t="n">
        <v>0.479166666666667</v>
      </c>
      <c r="C47" s="23" t="s">
        <v>6</v>
      </c>
      <c r="D47" s="20"/>
      <c r="E47" s="20"/>
      <c r="F47" s="23" t="s">
        <v>10</v>
      </c>
    </row>
    <row r="48" customFormat="false" ht="15" hidden="false" customHeight="false" outlineLevel="0" collapsed="false">
      <c r="A48" s="21" t="s">
        <v>2</v>
      </c>
      <c r="B48" s="22" t="n">
        <v>0.479166666666667</v>
      </c>
      <c r="C48" s="23" t="s">
        <v>14</v>
      </c>
      <c r="D48" s="20"/>
      <c r="E48" s="20"/>
      <c r="F48" s="23" t="s">
        <v>26</v>
      </c>
    </row>
    <row r="49" customFormat="false" ht="15" hidden="false" customHeight="false" outlineLevel="0" collapsed="false">
      <c r="A49" s="21" t="s">
        <v>2</v>
      </c>
      <c r="B49" s="22" t="n">
        <v>0.486111111111111</v>
      </c>
      <c r="C49" s="23" t="s">
        <v>22</v>
      </c>
      <c r="D49" s="20"/>
      <c r="E49" s="20"/>
      <c r="F49" s="23" t="s">
        <v>18</v>
      </c>
    </row>
    <row r="50" customFormat="false" ht="15" hidden="false" customHeight="false" outlineLevel="0" collapsed="false">
      <c r="A50" s="21" t="s">
        <v>2</v>
      </c>
      <c r="B50" s="22" t="n">
        <v>0.493055555555556</v>
      </c>
      <c r="C50" s="23" t="s">
        <v>26</v>
      </c>
      <c r="D50" s="20"/>
      <c r="E50" s="20"/>
      <c r="F50" s="23" t="s">
        <v>6</v>
      </c>
    </row>
    <row r="51" customFormat="false" ht="15" hidden="false" customHeight="false" outlineLevel="0" collapsed="false">
      <c r="A51" s="21" t="s">
        <v>2</v>
      </c>
      <c r="B51" s="22" t="n">
        <v>0.493055555555556</v>
      </c>
      <c r="C51" s="23" t="s">
        <v>22</v>
      </c>
      <c r="D51" s="20"/>
      <c r="E51" s="20"/>
      <c r="F51" s="23" t="s">
        <v>10</v>
      </c>
    </row>
    <row r="52" customFormat="false" ht="15" hidden="false" customHeight="false" outlineLevel="0" collapsed="false">
      <c r="A52" s="21" t="s">
        <v>2</v>
      </c>
      <c r="B52" s="22" t="n">
        <v>0.541666666666667</v>
      </c>
      <c r="C52" s="23" t="s">
        <v>18</v>
      </c>
      <c r="D52" s="20"/>
      <c r="E52" s="20"/>
      <c r="F52" s="23" t="s">
        <v>14</v>
      </c>
    </row>
    <row r="53" customFormat="false" ht="15" hidden="false" customHeight="false" outlineLevel="0" collapsed="false">
      <c r="A53" s="21" t="s">
        <v>2</v>
      </c>
      <c r="B53" s="22" t="n">
        <v>0.541666666666667</v>
      </c>
      <c r="C53" s="23" t="s">
        <v>22</v>
      </c>
      <c r="D53" s="20"/>
      <c r="E53" s="20"/>
      <c r="F53" s="23" t="s">
        <v>6</v>
      </c>
    </row>
    <row r="54" customFormat="false" ht="15" hidden="false" customHeight="false" outlineLevel="0" collapsed="false">
      <c r="A54" s="21" t="s">
        <v>2</v>
      </c>
      <c r="B54" s="22" t="n">
        <v>0.548611111111111</v>
      </c>
      <c r="C54" s="23" t="s">
        <v>14</v>
      </c>
      <c r="D54" s="20"/>
      <c r="E54" s="20"/>
      <c r="F54" s="23" t="s">
        <v>10</v>
      </c>
    </row>
    <row r="55" customFormat="false" ht="15" hidden="false" customHeight="false" outlineLevel="0" collapsed="false">
      <c r="A55" s="21" t="s">
        <v>2</v>
      </c>
      <c r="B55" s="22" t="n">
        <v>0.548611111111111</v>
      </c>
      <c r="C55" s="23" t="s">
        <v>26</v>
      </c>
      <c r="D55" s="20"/>
      <c r="E55" s="20"/>
      <c r="F55" s="23" t="s">
        <v>18</v>
      </c>
    </row>
    <row r="56" customFormat="false" ht="15" hidden="false" customHeight="false" outlineLevel="0" collapsed="false">
      <c r="A56" s="21" t="s">
        <v>2</v>
      </c>
      <c r="B56" s="22" t="n">
        <v>0.555555555555556</v>
      </c>
      <c r="C56" s="23" t="s">
        <v>18</v>
      </c>
      <c r="D56" s="20"/>
      <c r="E56" s="20"/>
      <c r="F56" s="23" t="s">
        <v>6</v>
      </c>
    </row>
    <row r="57" customFormat="false" ht="15" hidden="false" customHeight="false" outlineLevel="0" collapsed="false">
      <c r="A57" s="21" t="s">
        <v>2</v>
      </c>
      <c r="B57" s="22" t="n">
        <v>0.555555555555556</v>
      </c>
      <c r="C57" s="23" t="s">
        <v>26</v>
      </c>
      <c r="D57" s="20"/>
      <c r="E57" s="20"/>
      <c r="F57" s="23" t="s">
        <v>22</v>
      </c>
    </row>
    <row r="58" customFormat="false" ht="15" hidden="false" customHeight="false" outlineLevel="0" collapsed="false">
      <c r="A58" s="21" t="s">
        <v>2</v>
      </c>
      <c r="B58" s="22" t="n">
        <v>0.5625</v>
      </c>
      <c r="C58" s="23" t="s">
        <v>14</v>
      </c>
      <c r="D58" s="20"/>
      <c r="E58" s="20"/>
      <c r="F58" s="23" t="s">
        <v>6</v>
      </c>
    </row>
    <row r="59" customFormat="false" ht="15" hidden="false" customHeight="false" outlineLevel="0" collapsed="false">
      <c r="A59" s="21" t="s">
        <v>2</v>
      </c>
      <c r="B59" s="22" t="n">
        <v>0.5625</v>
      </c>
      <c r="C59" s="23" t="s">
        <v>26</v>
      </c>
      <c r="D59" s="20"/>
      <c r="E59" s="20"/>
      <c r="F59" s="23" t="s">
        <v>10</v>
      </c>
    </row>
    <row r="60" customFormat="false" ht="15" hidden="false" customHeight="false" outlineLevel="0" collapsed="false">
      <c r="A60" s="21" t="s">
        <v>2</v>
      </c>
      <c r="B60" s="22" t="n">
        <v>0.569444444444444</v>
      </c>
      <c r="C60" s="23" t="s">
        <v>18</v>
      </c>
      <c r="D60" s="20"/>
      <c r="E60" s="20"/>
      <c r="F60" s="23" t="s">
        <v>10</v>
      </c>
    </row>
    <row r="61" customFormat="false" ht="15" hidden="false" customHeight="false" outlineLevel="0" collapsed="false">
      <c r="A61" s="21" t="s">
        <v>2</v>
      </c>
      <c r="B61" s="22" t="n">
        <v>0.569444444444444</v>
      </c>
      <c r="C61" s="23" t="s">
        <v>22</v>
      </c>
      <c r="D61" s="20"/>
      <c r="E61" s="20"/>
      <c r="F61" s="23" t="s">
        <v>14</v>
      </c>
    </row>
    <row r="62" customFormat="false" ht="15" hidden="false" customHeight="false" outlineLevel="0" collapsed="false">
      <c r="A62" s="21" t="s">
        <v>2</v>
      </c>
      <c r="B62" s="22" t="n">
        <v>0.576388888888889</v>
      </c>
      <c r="C62" s="23" t="s">
        <v>10</v>
      </c>
      <c r="D62" s="20"/>
      <c r="E62" s="20"/>
      <c r="F62" s="23" t="s">
        <v>6</v>
      </c>
    </row>
    <row r="63" customFormat="false" ht="15" hidden="false" customHeight="false" outlineLevel="0" collapsed="false">
      <c r="A63" s="21" t="s">
        <v>2</v>
      </c>
      <c r="B63" s="22" t="n">
        <v>0.576388888888889</v>
      </c>
      <c r="C63" s="23" t="s">
        <v>26</v>
      </c>
      <c r="D63" s="20"/>
      <c r="E63" s="20"/>
      <c r="F63" s="23" t="s">
        <v>14</v>
      </c>
    </row>
    <row r="64" customFormat="false" ht="15" hidden="false" customHeight="false" outlineLevel="0" collapsed="false">
      <c r="A64" s="21" t="s">
        <v>2</v>
      </c>
      <c r="B64" s="22" t="n">
        <v>0.583333333333333</v>
      </c>
      <c r="C64" s="23" t="s">
        <v>18</v>
      </c>
      <c r="D64" s="20"/>
      <c r="E64" s="20"/>
      <c r="F64" s="23" t="s">
        <v>22</v>
      </c>
    </row>
  </sheetData>
  <dataValidations count="1">
    <dataValidation allowBlank="true" error="Please enter a whole number (0 or more)." errorStyle="stop" errorTitle="Invalid score" operator="greaterThanOrEqual" showDropDown="false" showErrorMessage="false" showInputMessage="false" sqref="D5:E6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V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9" min="3" style="0" width="6"/>
    <col collapsed="false" customWidth="true" hidden="false" outlineLevel="0" max="10" min="10" style="0" width="7"/>
    <col collapsed="false" customWidth="true" hidden="true" outlineLevel="0" max="22" min="12" style="0" width="13"/>
  </cols>
  <sheetData>
    <row r="1" customFormat="false" ht="19.7" hidden="false" customHeight="false" outlineLevel="0" collapsed="false">
      <c r="A1" s="14" t="s">
        <v>93</v>
      </c>
    </row>
    <row r="2" customFormat="false" ht="15" hidden="false" customHeight="false" outlineLevel="0" collapsed="false">
      <c r="A2" s="15" t="s">
        <v>94</v>
      </c>
    </row>
    <row r="4" customFormat="false" ht="16.15" hidden="false" customHeight="false" outlineLevel="0" collapsed="false">
      <c r="A4" s="24" t="s">
        <v>1</v>
      </c>
      <c r="B4" s="24"/>
      <c r="C4" s="24"/>
      <c r="D4" s="24"/>
      <c r="E4" s="24"/>
      <c r="F4" s="24"/>
      <c r="G4" s="24"/>
      <c r="H4" s="24"/>
      <c r="I4" s="24"/>
      <c r="J4" s="24"/>
    </row>
    <row r="5" customFormat="false" ht="15" hidden="false" customHeight="false" outlineLevel="0" collapsed="false">
      <c r="A5" s="16" t="s">
        <v>95</v>
      </c>
      <c r="B5" s="16" t="s">
        <v>96</v>
      </c>
      <c r="C5" s="16" t="s">
        <v>97</v>
      </c>
      <c r="D5" s="16" t="s">
        <v>98</v>
      </c>
      <c r="E5" s="16" t="s">
        <v>15</v>
      </c>
      <c r="F5" s="16" t="s">
        <v>25</v>
      </c>
      <c r="G5" s="16" t="s">
        <v>99</v>
      </c>
      <c r="H5" s="16" t="s">
        <v>100</v>
      </c>
      <c r="I5" s="16" t="s">
        <v>101</v>
      </c>
      <c r="J5" s="16" t="s">
        <v>102</v>
      </c>
    </row>
    <row r="6" customFormat="false" ht="15" hidden="false" customHeight="false" outlineLevel="0" collapsed="false">
      <c r="A6" s="17" t="n">
        <v>1</v>
      </c>
      <c r="B6" s="25" t="str">
        <f aca="false">INDEX($M$6:$M$11,$L6)</f>
        <v>Brazil</v>
      </c>
      <c r="C6" s="17" t="n">
        <f aca="false">INDEX($N$6:$N$11,$L6)</f>
        <v>0</v>
      </c>
      <c r="D6" s="17" t="n">
        <f aca="false">INDEX($O$6:$O$11,$L6)</f>
        <v>0</v>
      </c>
      <c r="E6" s="17" t="n">
        <f aca="false">INDEX($P$6:$P$11,$L6)</f>
        <v>0</v>
      </c>
      <c r="F6" s="17" t="n">
        <f aca="false">INDEX($Q$6:$Q$11,$L6)</f>
        <v>0</v>
      </c>
      <c r="G6" s="17" t="n">
        <f aca="false">INDEX($R$6:$R$11,$L6)</f>
        <v>0</v>
      </c>
      <c r="H6" s="17" t="n">
        <f aca="false">INDEX($S$6:$S$11,$L6)</f>
        <v>0</v>
      </c>
      <c r="I6" s="17" t="n">
        <f aca="false">INDEX($T$6:$T$11,$L6)</f>
        <v>0</v>
      </c>
      <c r="J6" s="26" t="n">
        <f aca="false">INDEX($U$6:$U$11,$L6)</f>
        <v>0</v>
      </c>
      <c r="L6" s="10" t="n">
        <f aca="false">MATCH(LARGE($V$6:$V$11,ROW()-5),$V$6:$V$11,0)</f>
        <v>1</v>
      </c>
      <c r="M6" s="10" t="s">
        <v>4</v>
      </c>
      <c r="N6" s="10" t="n">
        <f aca="false">SUMPRODUCT(('U9-U10 Scores'!$C$5:$C$64=$M6)*('U9-U10 Scores'!$D$5:$D$64&lt;&gt;"")*('U9-U10 Scores'!$E$5:$E$64&lt;&gt;""))+SUMPRODUCT(('U9-U10 Scores'!$F$5:$F$64=$M6)*('U9-U10 Scores'!$D$5:$D$64&lt;&gt;"")*('U9-U10 Scores'!$E$5:$E$64&lt;&gt;""))</f>
        <v>0</v>
      </c>
      <c r="O6" s="10" t="n">
        <f aca="false">SUMPRODUCT(('U9-U10 Scores'!$C$5:$C$64=$M6)*('U9-U10 Scores'!$D$5:$D$64&lt;&gt;"")*('U9-U10 Scores'!$E$5:$E$64&lt;&gt;"")*('U9-U10 Scores'!$D$5:$D$64&gt;'U9-U10 Scores'!$E$5:$E$64))+SUMPRODUCT(('U9-U10 Scores'!$F$5:$F$64=$M6)*('U9-U10 Scores'!$D$5:$D$64&lt;&gt;"")*('U9-U10 Scores'!$E$5:$E$64&lt;&gt;"")*('U9-U10 Scores'!$E$5:$E$64&gt;'U9-U10 Scores'!$D$5:$D$64))</f>
        <v>0</v>
      </c>
      <c r="P6" s="10" t="n">
        <f aca="false">SUMPRODUCT((('U9-U10 Scores'!$C$5:$C$64=$M6)+('U9-U10 Scores'!$F$5:$F$64=$M6))*('U9-U10 Scores'!$D$5:$D$64&lt;&gt;"")*('U9-U10 Scores'!$E$5:$E$64&lt;&gt;"")*('U9-U10 Scores'!$D$5:$D$64='U9-U10 Scores'!$E$5:$E$64))</f>
        <v>0</v>
      </c>
      <c r="Q6" s="10" t="n">
        <f aca="false">$N6-$O6-$P6</f>
        <v>0</v>
      </c>
      <c r="R6" s="10" t="n">
        <f aca="false">SUMPRODUCT(('U9-U10 Scores'!$C$5:$C$64=$M6)*('U9-U10 Scores'!$D$5:$D$64&lt;&gt;"")*('U9-U10 Scores'!$E$5:$E$64&lt;&gt;"")*'U9-U10 Scores'!$D$5:$D$64)+SUMPRODUCT(('U9-U10 Scores'!$F$5:$F$64=$M6)*('U9-U10 Scores'!$D$5:$D$64&lt;&gt;"")*('U9-U10 Scores'!$E$5:$E$64&lt;&gt;"")*'U9-U10 Scores'!$E$5:$E$64)</f>
        <v>0</v>
      </c>
      <c r="S6" s="10" t="n">
        <f aca="false">SUMPRODUCT(('U9-U10 Scores'!$C$5:$C$64=$M6)*('U9-U10 Scores'!$D$5:$D$64&lt;&gt;"")*('U9-U10 Scores'!$E$5:$E$64&lt;&gt;"")*'U9-U10 Scores'!$E$5:$E$64)+SUMPRODUCT(('U9-U10 Scores'!$F$5:$F$64=$M6)*('U9-U10 Scores'!$D$5:$D$64&lt;&gt;"")*('U9-U10 Scores'!$E$5:$E$64&lt;&gt;"")*'U9-U10 Scores'!$D$5:$D$64)</f>
        <v>0</v>
      </c>
      <c r="T6" s="10" t="n">
        <f aca="false">$R6-$S6</f>
        <v>0</v>
      </c>
      <c r="U6" s="10" t="n">
        <f aca="false">3*$O6+$P6</f>
        <v>0</v>
      </c>
      <c r="V6" s="10" t="n">
        <f aca="false">$U6*1000000+($T6+500)*1000+$R6+(12-ROW())*0.01</f>
        <v>500000.06</v>
      </c>
    </row>
    <row r="7" customFormat="false" ht="15" hidden="false" customHeight="false" outlineLevel="0" collapsed="false">
      <c r="A7" s="21" t="n">
        <v>2</v>
      </c>
      <c r="B7" s="27" t="str">
        <f aca="false">INDEX($M$6:$M$11,$L7)</f>
        <v>England</v>
      </c>
      <c r="C7" s="21" t="n">
        <f aca="false">INDEX($N$6:$N$11,$L7)</f>
        <v>0</v>
      </c>
      <c r="D7" s="21" t="n">
        <f aca="false">INDEX($O$6:$O$11,$L7)</f>
        <v>0</v>
      </c>
      <c r="E7" s="21" t="n">
        <f aca="false">INDEX($P$6:$P$11,$L7)</f>
        <v>0</v>
      </c>
      <c r="F7" s="21" t="n">
        <f aca="false">INDEX($Q$6:$Q$11,$L7)</f>
        <v>0</v>
      </c>
      <c r="G7" s="21" t="n">
        <f aca="false">INDEX($R$6:$R$11,$L7)</f>
        <v>0</v>
      </c>
      <c r="H7" s="21" t="n">
        <f aca="false">INDEX($S$6:$S$11,$L7)</f>
        <v>0</v>
      </c>
      <c r="I7" s="21" t="n">
        <f aca="false">INDEX($T$6:$T$11,$L7)</f>
        <v>0</v>
      </c>
      <c r="J7" s="28" t="n">
        <f aca="false">INDEX($U$6:$U$11,$L7)</f>
        <v>0</v>
      </c>
      <c r="L7" s="10" t="n">
        <f aca="false">MATCH(LARGE($V$6:$V$11,ROW()-5),$V$6:$V$11,0)</f>
        <v>2</v>
      </c>
      <c r="M7" s="10" t="s">
        <v>8</v>
      </c>
      <c r="N7" s="10" t="n">
        <f aca="false">SUMPRODUCT(('U9-U10 Scores'!$C$5:$C$64=$M7)*('U9-U10 Scores'!$D$5:$D$64&lt;&gt;"")*('U9-U10 Scores'!$E$5:$E$64&lt;&gt;""))+SUMPRODUCT(('U9-U10 Scores'!$F$5:$F$64=$M7)*('U9-U10 Scores'!$D$5:$D$64&lt;&gt;"")*('U9-U10 Scores'!$E$5:$E$64&lt;&gt;""))</f>
        <v>0</v>
      </c>
      <c r="O7" s="10" t="n">
        <f aca="false">SUMPRODUCT(('U9-U10 Scores'!$C$5:$C$64=$M7)*('U9-U10 Scores'!$D$5:$D$64&lt;&gt;"")*('U9-U10 Scores'!$E$5:$E$64&lt;&gt;"")*('U9-U10 Scores'!$D$5:$D$64&gt;'U9-U10 Scores'!$E$5:$E$64))+SUMPRODUCT(('U9-U10 Scores'!$F$5:$F$64=$M7)*('U9-U10 Scores'!$D$5:$D$64&lt;&gt;"")*('U9-U10 Scores'!$E$5:$E$64&lt;&gt;"")*('U9-U10 Scores'!$E$5:$E$64&gt;'U9-U10 Scores'!$D$5:$D$64))</f>
        <v>0</v>
      </c>
      <c r="P7" s="10" t="n">
        <f aca="false">SUMPRODUCT((('U9-U10 Scores'!$C$5:$C$64=$M7)+('U9-U10 Scores'!$F$5:$F$64=$M7))*('U9-U10 Scores'!$D$5:$D$64&lt;&gt;"")*('U9-U10 Scores'!$E$5:$E$64&lt;&gt;"")*('U9-U10 Scores'!$D$5:$D$64='U9-U10 Scores'!$E$5:$E$64))</f>
        <v>0</v>
      </c>
      <c r="Q7" s="10" t="n">
        <f aca="false">$N7-$O7-$P7</f>
        <v>0</v>
      </c>
      <c r="R7" s="10" t="n">
        <f aca="false">SUMPRODUCT(('U9-U10 Scores'!$C$5:$C$64=$M7)*('U9-U10 Scores'!$D$5:$D$64&lt;&gt;"")*('U9-U10 Scores'!$E$5:$E$64&lt;&gt;"")*'U9-U10 Scores'!$D$5:$D$64)+SUMPRODUCT(('U9-U10 Scores'!$F$5:$F$64=$M7)*('U9-U10 Scores'!$D$5:$D$64&lt;&gt;"")*('U9-U10 Scores'!$E$5:$E$64&lt;&gt;"")*'U9-U10 Scores'!$E$5:$E$64)</f>
        <v>0</v>
      </c>
      <c r="S7" s="10" t="n">
        <f aca="false">SUMPRODUCT(('U9-U10 Scores'!$C$5:$C$64=$M7)*('U9-U10 Scores'!$D$5:$D$64&lt;&gt;"")*('U9-U10 Scores'!$E$5:$E$64&lt;&gt;"")*'U9-U10 Scores'!$E$5:$E$64)+SUMPRODUCT(('U9-U10 Scores'!$F$5:$F$64=$M7)*('U9-U10 Scores'!$D$5:$D$64&lt;&gt;"")*('U9-U10 Scores'!$E$5:$E$64&lt;&gt;"")*'U9-U10 Scores'!$D$5:$D$64)</f>
        <v>0</v>
      </c>
      <c r="T7" s="10" t="n">
        <f aca="false">$R7-$S7</f>
        <v>0</v>
      </c>
      <c r="U7" s="10" t="n">
        <f aca="false">3*$O7+$P7</f>
        <v>0</v>
      </c>
      <c r="V7" s="10" t="n">
        <f aca="false">$U7*1000000+($T7+500)*1000+$R7+(12-ROW())*0.01</f>
        <v>500000.05</v>
      </c>
    </row>
    <row r="8" customFormat="false" ht="15" hidden="false" customHeight="false" outlineLevel="0" collapsed="false">
      <c r="A8" s="17" t="n">
        <v>3</v>
      </c>
      <c r="B8" s="25" t="str">
        <f aca="false">INDEX($M$6:$M$11,$L8)</f>
        <v>Spain</v>
      </c>
      <c r="C8" s="17" t="n">
        <f aca="false">INDEX($N$6:$N$11,$L8)</f>
        <v>0</v>
      </c>
      <c r="D8" s="17" t="n">
        <f aca="false">INDEX($O$6:$O$11,$L8)</f>
        <v>0</v>
      </c>
      <c r="E8" s="17" t="n">
        <f aca="false">INDEX($P$6:$P$11,$L8)</f>
        <v>0</v>
      </c>
      <c r="F8" s="17" t="n">
        <f aca="false">INDEX($Q$6:$Q$11,$L8)</f>
        <v>0</v>
      </c>
      <c r="G8" s="17" t="n">
        <f aca="false">INDEX($R$6:$R$11,$L8)</f>
        <v>0</v>
      </c>
      <c r="H8" s="17" t="n">
        <f aca="false">INDEX($S$6:$S$11,$L8)</f>
        <v>0</v>
      </c>
      <c r="I8" s="17" t="n">
        <f aca="false">INDEX($T$6:$T$11,$L8)</f>
        <v>0</v>
      </c>
      <c r="J8" s="26" t="n">
        <f aca="false">INDEX($U$6:$U$11,$L8)</f>
        <v>0</v>
      </c>
      <c r="L8" s="10" t="n">
        <f aca="false">MATCH(LARGE($V$6:$V$11,ROW()-5),$V$6:$V$11,0)</f>
        <v>3</v>
      </c>
      <c r="M8" s="10" t="s">
        <v>12</v>
      </c>
      <c r="N8" s="10" t="n">
        <f aca="false">SUMPRODUCT(('U9-U10 Scores'!$C$5:$C$64=$M8)*('U9-U10 Scores'!$D$5:$D$64&lt;&gt;"")*('U9-U10 Scores'!$E$5:$E$64&lt;&gt;""))+SUMPRODUCT(('U9-U10 Scores'!$F$5:$F$64=$M8)*('U9-U10 Scores'!$D$5:$D$64&lt;&gt;"")*('U9-U10 Scores'!$E$5:$E$64&lt;&gt;""))</f>
        <v>0</v>
      </c>
      <c r="O8" s="10" t="n">
        <f aca="false">SUMPRODUCT(('U9-U10 Scores'!$C$5:$C$64=$M8)*('U9-U10 Scores'!$D$5:$D$64&lt;&gt;"")*('U9-U10 Scores'!$E$5:$E$64&lt;&gt;"")*('U9-U10 Scores'!$D$5:$D$64&gt;'U9-U10 Scores'!$E$5:$E$64))+SUMPRODUCT(('U9-U10 Scores'!$F$5:$F$64=$M8)*('U9-U10 Scores'!$D$5:$D$64&lt;&gt;"")*('U9-U10 Scores'!$E$5:$E$64&lt;&gt;"")*('U9-U10 Scores'!$E$5:$E$64&gt;'U9-U10 Scores'!$D$5:$D$64))</f>
        <v>0</v>
      </c>
      <c r="P8" s="10" t="n">
        <f aca="false">SUMPRODUCT((('U9-U10 Scores'!$C$5:$C$64=$M8)+('U9-U10 Scores'!$F$5:$F$64=$M8))*('U9-U10 Scores'!$D$5:$D$64&lt;&gt;"")*('U9-U10 Scores'!$E$5:$E$64&lt;&gt;"")*('U9-U10 Scores'!$D$5:$D$64='U9-U10 Scores'!$E$5:$E$64))</f>
        <v>0</v>
      </c>
      <c r="Q8" s="10" t="n">
        <f aca="false">$N8-$O8-$P8</f>
        <v>0</v>
      </c>
      <c r="R8" s="10" t="n">
        <f aca="false">SUMPRODUCT(('U9-U10 Scores'!$C$5:$C$64=$M8)*('U9-U10 Scores'!$D$5:$D$64&lt;&gt;"")*('U9-U10 Scores'!$E$5:$E$64&lt;&gt;"")*'U9-U10 Scores'!$D$5:$D$64)+SUMPRODUCT(('U9-U10 Scores'!$F$5:$F$64=$M8)*('U9-U10 Scores'!$D$5:$D$64&lt;&gt;"")*('U9-U10 Scores'!$E$5:$E$64&lt;&gt;"")*'U9-U10 Scores'!$E$5:$E$64)</f>
        <v>0</v>
      </c>
      <c r="S8" s="10" t="n">
        <f aca="false">SUMPRODUCT(('U9-U10 Scores'!$C$5:$C$64=$M8)*('U9-U10 Scores'!$D$5:$D$64&lt;&gt;"")*('U9-U10 Scores'!$E$5:$E$64&lt;&gt;"")*'U9-U10 Scores'!$E$5:$E$64)+SUMPRODUCT(('U9-U10 Scores'!$F$5:$F$64=$M8)*('U9-U10 Scores'!$D$5:$D$64&lt;&gt;"")*('U9-U10 Scores'!$E$5:$E$64&lt;&gt;"")*'U9-U10 Scores'!$D$5:$D$64)</f>
        <v>0</v>
      </c>
      <c r="T8" s="10" t="n">
        <f aca="false">$R8-$S8</f>
        <v>0</v>
      </c>
      <c r="U8" s="10" t="n">
        <f aca="false">3*$O8+$P8</f>
        <v>0</v>
      </c>
      <c r="V8" s="10" t="n">
        <f aca="false">$U8*1000000+($T8+500)*1000+$R8+(12-ROW())*0.01</f>
        <v>500000.04</v>
      </c>
    </row>
    <row r="9" customFormat="false" ht="15" hidden="false" customHeight="false" outlineLevel="0" collapsed="false">
      <c r="A9" s="21" t="n">
        <v>4</v>
      </c>
      <c r="B9" s="27" t="str">
        <f aca="false">INDEX($M$6:$M$11,$L9)</f>
        <v>Mexico</v>
      </c>
      <c r="C9" s="21" t="n">
        <f aca="false">INDEX($N$6:$N$11,$L9)</f>
        <v>0</v>
      </c>
      <c r="D9" s="21" t="n">
        <f aca="false">INDEX($O$6:$O$11,$L9)</f>
        <v>0</v>
      </c>
      <c r="E9" s="21" t="n">
        <f aca="false">INDEX($P$6:$P$11,$L9)</f>
        <v>0</v>
      </c>
      <c r="F9" s="21" t="n">
        <f aca="false">INDEX($Q$6:$Q$11,$L9)</f>
        <v>0</v>
      </c>
      <c r="G9" s="21" t="n">
        <f aca="false">INDEX($R$6:$R$11,$L9)</f>
        <v>0</v>
      </c>
      <c r="H9" s="21" t="n">
        <f aca="false">INDEX($S$6:$S$11,$L9)</f>
        <v>0</v>
      </c>
      <c r="I9" s="21" t="n">
        <f aca="false">INDEX($T$6:$T$11,$L9)</f>
        <v>0</v>
      </c>
      <c r="J9" s="28" t="n">
        <f aca="false">INDEX($U$6:$U$11,$L9)</f>
        <v>0</v>
      </c>
      <c r="L9" s="10" t="n">
        <f aca="false">MATCH(LARGE($V$6:$V$11,ROW()-5),$V$6:$V$11,0)</f>
        <v>4</v>
      </c>
      <c r="M9" s="10" t="s">
        <v>16</v>
      </c>
      <c r="N9" s="10" t="n">
        <f aca="false">SUMPRODUCT(('U9-U10 Scores'!$C$5:$C$64=$M9)*('U9-U10 Scores'!$D$5:$D$64&lt;&gt;"")*('U9-U10 Scores'!$E$5:$E$64&lt;&gt;""))+SUMPRODUCT(('U9-U10 Scores'!$F$5:$F$64=$M9)*('U9-U10 Scores'!$D$5:$D$64&lt;&gt;"")*('U9-U10 Scores'!$E$5:$E$64&lt;&gt;""))</f>
        <v>0</v>
      </c>
      <c r="O9" s="10" t="n">
        <f aca="false">SUMPRODUCT(('U9-U10 Scores'!$C$5:$C$64=$M9)*('U9-U10 Scores'!$D$5:$D$64&lt;&gt;"")*('U9-U10 Scores'!$E$5:$E$64&lt;&gt;"")*('U9-U10 Scores'!$D$5:$D$64&gt;'U9-U10 Scores'!$E$5:$E$64))+SUMPRODUCT(('U9-U10 Scores'!$F$5:$F$64=$M9)*('U9-U10 Scores'!$D$5:$D$64&lt;&gt;"")*('U9-U10 Scores'!$E$5:$E$64&lt;&gt;"")*('U9-U10 Scores'!$E$5:$E$64&gt;'U9-U10 Scores'!$D$5:$D$64))</f>
        <v>0</v>
      </c>
      <c r="P9" s="10" t="n">
        <f aca="false">SUMPRODUCT((('U9-U10 Scores'!$C$5:$C$64=$M9)+('U9-U10 Scores'!$F$5:$F$64=$M9))*('U9-U10 Scores'!$D$5:$D$64&lt;&gt;"")*('U9-U10 Scores'!$E$5:$E$64&lt;&gt;"")*('U9-U10 Scores'!$D$5:$D$64='U9-U10 Scores'!$E$5:$E$64))</f>
        <v>0</v>
      </c>
      <c r="Q9" s="10" t="n">
        <f aca="false">$N9-$O9-$P9</f>
        <v>0</v>
      </c>
      <c r="R9" s="10" t="n">
        <f aca="false">SUMPRODUCT(('U9-U10 Scores'!$C$5:$C$64=$M9)*('U9-U10 Scores'!$D$5:$D$64&lt;&gt;"")*('U9-U10 Scores'!$E$5:$E$64&lt;&gt;"")*'U9-U10 Scores'!$D$5:$D$64)+SUMPRODUCT(('U9-U10 Scores'!$F$5:$F$64=$M9)*('U9-U10 Scores'!$D$5:$D$64&lt;&gt;"")*('U9-U10 Scores'!$E$5:$E$64&lt;&gt;"")*'U9-U10 Scores'!$E$5:$E$64)</f>
        <v>0</v>
      </c>
      <c r="S9" s="10" t="n">
        <f aca="false">SUMPRODUCT(('U9-U10 Scores'!$C$5:$C$64=$M9)*('U9-U10 Scores'!$D$5:$D$64&lt;&gt;"")*('U9-U10 Scores'!$E$5:$E$64&lt;&gt;"")*'U9-U10 Scores'!$E$5:$E$64)+SUMPRODUCT(('U9-U10 Scores'!$F$5:$F$64=$M9)*('U9-U10 Scores'!$D$5:$D$64&lt;&gt;"")*('U9-U10 Scores'!$E$5:$E$64&lt;&gt;"")*'U9-U10 Scores'!$D$5:$D$64)</f>
        <v>0</v>
      </c>
      <c r="T9" s="10" t="n">
        <f aca="false">$R9-$S9</f>
        <v>0</v>
      </c>
      <c r="U9" s="10" t="n">
        <f aca="false">3*$O9+$P9</f>
        <v>0</v>
      </c>
      <c r="V9" s="10" t="n">
        <f aca="false">$U9*1000000+($T9+500)*1000+$R9+(12-ROW())*0.01</f>
        <v>500000.03</v>
      </c>
    </row>
    <row r="10" customFormat="false" ht="15" hidden="false" customHeight="false" outlineLevel="0" collapsed="false">
      <c r="A10" s="17" t="n">
        <v>5</v>
      </c>
      <c r="B10" s="25" t="str">
        <f aca="false">INDEX($M$6:$M$11,$L10)</f>
        <v>Portugal</v>
      </c>
      <c r="C10" s="17" t="n">
        <f aca="false">INDEX($N$6:$N$11,$L10)</f>
        <v>0</v>
      </c>
      <c r="D10" s="17" t="n">
        <f aca="false">INDEX($O$6:$O$11,$L10)</f>
        <v>0</v>
      </c>
      <c r="E10" s="17" t="n">
        <f aca="false">INDEX($P$6:$P$11,$L10)</f>
        <v>0</v>
      </c>
      <c r="F10" s="17" t="n">
        <f aca="false">INDEX($Q$6:$Q$11,$L10)</f>
        <v>0</v>
      </c>
      <c r="G10" s="17" t="n">
        <f aca="false">INDEX($R$6:$R$11,$L10)</f>
        <v>0</v>
      </c>
      <c r="H10" s="17" t="n">
        <f aca="false">INDEX($S$6:$S$11,$L10)</f>
        <v>0</v>
      </c>
      <c r="I10" s="17" t="n">
        <f aca="false">INDEX($T$6:$T$11,$L10)</f>
        <v>0</v>
      </c>
      <c r="J10" s="26" t="n">
        <f aca="false">INDEX($U$6:$U$11,$L10)</f>
        <v>0</v>
      </c>
      <c r="L10" s="10" t="n">
        <f aca="false">MATCH(LARGE($V$6:$V$11,ROW()-5),$V$6:$V$11,0)</f>
        <v>5</v>
      </c>
      <c r="M10" s="10" t="s">
        <v>20</v>
      </c>
      <c r="N10" s="10" t="n">
        <f aca="false">SUMPRODUCT(('U9-U10 Scores'!$C$5:$C$64=$M10)*('U9-U10 Scores'!$D$5:$D$64&lt;&gt;"")*('U9-U10 Scores'!$E$5:$E$64&lt;&gt;""))+SUMPRODUCT(('U9-U10 Scores'!$F$5:$F$64=$M10)*('U9-U10 Scores'!$D$5:$D$64&lt;&gt;"")*('U9-U10 Scores'!$E$5:$E$64&lt;&gt;""))</f>
        <v>0</v>
      </c>
      <c r="O10" s="10" t="n">
        <f aca="false">SUMPRODUCT(('U9-U10 Scores'!$C$5:$C$64=$M10)*('U9-U10 Scores'!$D$5:$D$64&lt;&gt;"")*('U9-U10 Scores'!$E$5:$E$64&lt;&gt;"")*('U9-U10 Scores'!$D$5:$D$64&gt;'U9-U10 Scores'!$E$5:$E$64))+SUMPRODUCT(('U9-U10 Scores'!$F$5:$F$64=$M10)*('U9-U10 Scores'!$D$5:$D$64&lt;&gt;"")*('U9-U10 Scores'!$E$5:$E$64&lt;&gt;"")*('U9-U10 Scores'!$E$5:$E$64&gt;'U9-U10 Scores'!$D$5:$D$64))</f>
        <v>0</v>
      </c>
      <c r="P10" s="10" t="n">
        <f aca="false">SUMPRODUCT((('U9-U10 Scores'!$C$5:$C$64=$M10)+('U9-U10 Scores'!$F$5:$F$64=$M10))*('U9-U10 Scores'!$D$5:$D$64&lt;&gt;"")*('U9-U10 Scores'!$E$5:$E$64&lt;&gt;"")*('U9-U10 Scores'!$D$5:$D$64='U9-U10 Scores'!$E$5:$E$64))</f>
        <v>0</v>
      </c>
      <c r="Q10" s="10" t="n">
        <f aca="false">$N10-$O10-$P10</f>
        <v>0</v>
      </c>
      <c r="R10" s="10" t="n">
        <f aca="false">SUMPRODUCT(('U9-U10 Scores'!$C$5:$C$64=$M10)*('U9-U10 Scores'!$D$5:$D$64&lt;&gt;"")*('U9-U10 Scores'!$E$5:$E$64&lt;&gt;"")*'U9-U10 Scores'!$D$5:$D$64)+SUMPRODUCT(('U9-U10 Scores'!$F$5:$F$64=$M10)*('U9-U10 Scores'!$D$5:$D$64&lt;&gt;"")*('U9-U10 Scores'!$E$5:$E$64&lt;&gt;"")*'U9-U10 Scores'!$E$5:$E$64)</f>
        <v>0</v>
      </c>
      <c r="S10" s="10" t="n">
        <f aca="false">SUMPRODUCT(('U9-U10 Scores'!$C$5:$C$64=$M10)*('U9-U10 Scores'!$D$5:$D$64&lt;&gt;"")*('U9-U10 Scores'!$E$5:$E$64&lt;&gt;"")*'U9-U10 Scores'!$E$5:$E$64)+SUMPRODUCT(('U9-U10 Scores'!$F$5:$F$64=$M10)*('U9-U10 Scores'!$D$5:$D$64&lt;&gt;"")*('U9-U10 Scores'!$E$5:$E$64&lt;&gt;"")*'U9-U10 Scores'!$D$5:$D$64)</f>
        <v>0</v>
      </c>
      <c r="T10" s="10" t="n">
        <f aca="false">$R10-$S10</f>
        <v>0</v>
      </c>
      <c r="U10" s="10" t="n">
        <f aca="false">3*$O10+$P10</f>
        <v>0</v>
      </c>
      <c r="V10" s="10" t="n">
        <f aca="false">$U10*1000000+($T10+500)*1000+$R10+(12-ROW())*0.01</f>
        <v>500000.02</v>
      </c>
    </row>
    <row r="11" customFormat="false" ht="15" hidden="false" customHeight="false" outlineLevel="0" collapsed="false">
      <c r="A11" s="21" t="n">
        <v>6</v>
      </c>
      <c r="B11" s="27" t="str">
        <f aca="false">INDEX($M$6:$M$11,$L11)</f>
        <v>USA</v>
      </c>
      <c r="C11" s="21" t="n">
        <f aca="false">INDEX($N$6:$N$11,$L11)</f>
        <v>0</v>
      </c>
      <c r="D11" s="21" t="n">
        <f aca="false">INDEX($O$6:$O$11,$L11)</f>
        <v>0</v>
      </c>
      <c r="E11" s="21" t="n">
        <f aca="false">INDEX($P$6:$P$11,$L11)</f>
        <v>0</v>
      </c>
      <c r="F11" s="21" t="n">
        <f aca="false">INDEX($Q$6:$Q$11,$L11)</f>
        <v>0</v>
      </c>
      <c r="G11" s="21" t="n">
        <f aca="false">INDEX($R$6:$R$11,$L11)</f>
        <v>0</v>
      </c>
      <c r="H11" s="21" t="n">
        <f aca="false">INDEX($S$6:$S$11,$L11)</f>
        <v>0</v>
      </c>
      <c r="I11" s="21" t="n">
        <f aca="false">INDEX($T$6:$T$11,$L11)</f>
        <v>0</v>
      </c>
      <c r="J11" s="28" t="n">
        <f aca="false">INDEX($U$6:$U$11,$L11)</f>
        <v>0</v>
      </c>
      <c r="L11" s="10" t="n">
        <f aca="false">MATCH(LARGE($V$6:$V$11,ROW()-5),$V$6:$V$11,0)</f>
        <v>6</v>
      </c>
      <c r="M11" s="10" t="s">
        <v>24</v>
      </c>
      <c r="N11" s="10" t="n">
        <f aca="false">SUMPRODUCT(('U9-U10 Scores'!$C$5:$C$64=$M11)*('U9-U10 Scores'!$D$5:$D$64&lt;&gt;"")*('U9-U10 Scores'!$E$5:$E$64&lt;&gt;""))+SUMPRODUCT(('U9-U10 Scores'!$F$5:$F$64=$M11)*('U9-U10 Scores'!$D$5:$D$64&lt;&gt;"")*('U9-U10 Scores'!$E$5:$E$64&lt;&gt;""))</f>
        <v>0</v>
      </c>
      <c r="O11" s="10" t="n">
        <f aca="false">SUMPRODUCT(('U9-U10 Scores'!$C$5:$C$64=$M11)*('U9-U10 Scores'!$D$5:$D$64&lt;&gt;"")*('U9-U10 Scores'!$E$5:$E$64&lt;&gt;"")*('U9-U10 Scores'!$D$5:$D$64&gt;'U9-U10 Scores'!$E$5:$E$64))+SUMPRODUCT(('U9-U10 Scores'!$F$5:$F$64=$M11)*('U9-U10 Scores'!$D$5:$D$64&lt;&gt;"")*('U9-U10 Scores'!$E$5:$E$64&lt;&gt;"")*('U9-U10 Scores'!$E$5:$E$64&gt;'U9-U10 Scores'!$D$5:$D$64))</f>
        <v>0</v>
      </c>
      <c r="P11" s="10" t="n">
        <f aca="false">SUMPRODUCT((('U9-U10 Scores'!$C$5:$C$64=$M11)+('U9-U10 Scores'!$F$5:$F$64=$M11))*('U9-U10 Scores'!$D$5:$D$64&lt;&gt;"")*('U9-U10 Scores'!$E$5:$E$64&lt;&gt;"")*('U9-U10 Scores'!$D$5:$D$64='U9-U10 Scores'!$E$5:$E$64))</f>
        <v>0</v>
      </c>
      <c r="Q11" s="10" t="n">
        <f aca="false">$N11-$O11-$P11</f>
        <v>0</v>
      </c>
      <c r="R11" s="10" t="n">
        <f aca="false">SUMPRODUCT(('U9-U10 Scores'!$C$5:$C$64=$M11)*('U9-U10 Scores'!$D$5:$D$64&lt;&gt;"")*('U9-U10 Scores'!$E$5:$E$64&lt;&gt;"")*'U9-U10 Scores'!$D$5:$D$64)+SUMPRODUCT(('U9-U10 Scores'!$F$5:$F$64=$M11)*('U9-U10 Scores'!$D$5:$D$64&lt;&gt;"")*('U9-U10 Scores'!$E$5:$E$64&lt;&gt;"")*'U9-U10 Scores'!$E$5:$E$64)</f>
        <v>0</v>
      </c>
      <c r="S11" s="10" t="n">
        <f aca="false">SUMPRODUCT(('U9-U10 Scores'!$C$5:$C$64=$M11)*('U9-U10 Scores'!$D$5:$D$64&lt;&gt;"")*('U9-U10 Scores'!$E$5:$E$64&lt;&gt;"")*'U9-U10 Scores'!$E$5:$E$64)+SUMPRODUCT(('U9-U10 Scores'!$F$5:$F$64=$M11)*('U9-U10 Scores'!$D$5:$D$64&lt;&gt;"")*('U9-U10 Scores'!$E$5:$E$64&lt;&gt;"")*'U9-U10 Scores'!$D$5:$D$64)</f>
        <v>0</v>
      </c>
      <c r="T11" s="10" t="n">
        <f aca="false">$R11-$S11</f>
        <v>0</v>
      </c>
      <c r="U11" s="10" t="n">
        <f aca="false">3*$O11+$P11</f>
        <v>0</v>
      </c>
      <c r="V11" s="10" t="n">
        <f aca="false">$U11*1000000+($T11+500)*1000+$R11+(12-ROW())*0.01</f>
        <v>500000.01</v>
      </c>
    </row>
    <row r="14" customFormat="false" ht="16.15" hidden="false" customHeight="false" outlineLevel="0" collapsed="false">
      <c r="A14" s="24" t="s">
        <v>2</v>
      </c>
      <c r="B14" s="24"/>
      <c r="C14" s="24"/>
      <c r="D14" s="24"/>
      <c r="E14" s="24"/>
      <c r="F14" s="24"/>
      <c r="G14" s="24"/>
      <c r="H14" s="24"/>
      <c r="I14" s="24"/>
      <c r="J14" s="24"/>
    </row>
    <row r="15" customFormat="false" ht="15" hidden="false" customHeight="false" outlineLevel="0" collapsed="false">
      <c r="A15" s="16" t="s">
        <v>95</v>
      </c>
      <c r="B15" s="16" t="s">
        <v>96</v>
      </c>
      <c r="C15" s="16" t="s">
        <v>97</v>
      </c>
      <c r="D15" s="16" t="s">
        <v>98</v>
      </c>
      <c r="E15" s="16" t="s">
        <v>15</v>
      </c>
      <c r="F15" s="16" t="s">
        <v>25</v>
      </c>
      <c r="G15" s="16" t="s">
        <v>99</v>
      </c>
      <c r="H15" s="16" t="s">
        <v>100</v>
      </c>
      <c r="I15" s="16" t="s">
        <v>101</v>
      </c>
      <c r="J15" s="16" t="s">
        <v>102</v>
      </c>
    </row>
    <row r="16" customFormat="false" ht="15" hidden="false" customHeight="false" outlineLevel="0" collapsed="false">
      <c r="A16" s="17" t="n">
        <v>1</v>
      </c>
      <c r="B16" s="25" t="str">
        <f aca="false">INDEX($M$16:$M$21,$L16)</f>
        <v>France</v>
      </c>
      <c r="C16" s="17" t="n">
        <f aca="false">INDEX($N$16:$N$21,$L16)</f>
        <v>0</v>
      </c>
      <c r="D16" s="17" t="n">
        <f aca="false">INDEX($O$16:$O$21,$L16)</f>
        <v>0</v>
      </c>
      <c r="E16" s="17" t="n">
        <f aca="false">INDEX($P$16:$P$21,$L16)</f>
        <v>0</v>
      </c>
      <c r="F16" s="17" t="n">
        <f aca="false">INDEX($Q$16:$Q$21,$L16)</f>
        <v>0</v>
      </c>
      <c r="G16" s="17" t="n">
        <f aca="false">INDEX($R$16:$R$21,$L16)</f>
        <v>0</v>
      </c>
      <c r="H16" s="17" t="n">
        <f aca="false">INDEX($S$16:$S$21,$L16)</f>
        <v>0</v>
      </c>
      <c r="I16" s="17" t="n">
        <f aca="false">INDEX($T$16:$T$21,$L16)</f>
        <v>0</v>
      </c>
      <c r="J16" s="26" t="n">
        <f aca="false">INDEX($U$16:$U$21,$L16)</f>
        <v>0</v>
      </c>
      <c r="L16" s="10" t="n">
        <f aca="false">MATCH(LARGE($V$16:$V$21,ROW()-15),$V$16:$V$21,0)</f>
        <v>1</v>
      </c>
      <c r="M16" s="10" t="s">
        <v>6</v>
      </c>
      <c r="N16" s="10" t="n">
        <f aca="false">SUMPRODUCT(('U9-U10 Scores'!$C$5:$C$64=$M16)*('U9-U10 Scores'!$D$5:$D$64&lt;&gt;"")*('U9-U10 Scores'!$E$5:$E$64&lt;&gt;""))+SUMPRODUCT(('U9-U10 Scores'!$F$5:$F$64=$M16)*('U9-U10 Scores'!$D$5:$D$64&lt;&gt;"")*('U9-U10 Scores'!$E$5:$E$64&lt;&gt;""))</f>
        <v>0</v>
      </c>
      <c r="O16" s="10" t="n">
        <f aca="false">SUMPRODUCT(('U9-U10 Scores'!$C$5:$C$64=$M16)*('U9-U10 Scores'!$D$5:$D$64&lt;&gt;"")*('U9-U10 Scores'!$E$5:$E$64&lt;&gt;"")*('U9-U10 Scores'!$D$5:$D$64&gt;'U9-U10 Scores'!$E$5:$E$64))+SUMPRODUCT(('U9-U10 Scores'!$F$5:$F$64=$M16)*('U9-U10 Scores'!$D$5:$D$64&lt;&gt;"")*('U9-U10 Scores'!$E$5:$E$64&lt;&gt;"")*('U9-U10 Scores'!$E$5:$E$64&gt;'U9-U10 Scores'!$D$5:$D$64))</f>
        <v>0</v>
      </c>
      <c r="P16" s="10" t="n">
        <f aca="false">SUMPRODUCT((('U9-U10 Scores'!$C$5:$C$64=$M16)+('U9-U10 Scores'!$F$5:$F$64=$M16))*('U9-U10 Scores'!$D$5:$D$64&lt;&gt;"")*('U9-U10 Scores'!$E$5:$E$64&lt;&gt;"")*('U9-U10 Scores'!$D$5:$D$64='U9-U10 Scores'!$E$5:$E$64))</f>
        <v>0</v>
      </c>
      <c r="Q16" s="10" t="n">
        <f aca="false">$N16-$O16-$P16</f>
        <v>0</v>
      </c>
      <c r="R16" s="10" t="n">
        <f aca="false">SUMPRODUCT(('U9-U10 Scores'!$C$5:$C$64=$M16)*('U9-U10 Scores'!$D$5:$D$64&lt;&gt;"")*('U9-U10 Scores'!$E$5:$E$64&lt;&gt;"")*'U9-U10 Scores'!$D$5:$D$64)+SUMPRODUCT(('U9-U10 Scores'!$F$5:$F$64=$M16)*('U9-U10 Scores'!$D$5:$D$64&lt;&gt;"")*('U9-U10 Scores'!$E$5:$E$64&lt;&gt;"")*'U9-U10 Scores'!$E$5:$E$64)</f>
        <v>0</v>
      </c>
      <c r="S16" s="10" t="n">
        <f aca="false">SUMPRODUCT(('U9-U10 Scores'!$C$5:$C$64=$M16)*('U9-U10 Scores'!$D$5:$D$64&lt;&gt;"")*('U9-U10 Scores'!$E$5:$E$64&lt;&gt;"")*'U9-U10 Scores'!$E$5:$E$64)+SUMPRODUCT(('U9-U10 Scores'!$F$5:$F$64=$M16)*('U9-U10 Scores'!$D$5:$D$64&lt;&gt;"")*('U9-U10 Scores'!$E$5:$E$64&lt;&gt;"")*'U9-U10 Scores'!$D$5:$D$64)</f>
        <v>0</v>
      </c>
      <c r="T16" s="10" t="n">
        <f aca="false">$R16-$S16</f>
        <v>0</v>
      </c>
      <c r="U16" s="10" t="n">
        <f aca="false">3*$O16+$P16</f>
        <v>0</v>
      </c>
      <c r="V16" s="10" t="n">
        <f aca="false">$U16*1000000+($T16+500)*1000+$R16+(22-ROW())*0.01</f>
        <v>500000.06</v>
      </c>
    </row>
    <row r="17" customFormat="false" ht="15" hidden="false" customHeight="false" outlineLevel="0" collapsed="false">
      <c r="A17" s="21" t="n">
        <v>2</v>
      </c>
      <c r="B17" s="27" t="str">
        <f aca="false">INDEX($M$16:$M$21,$L17)</f>
        <v>Germany</v>
      </c>
      <c r="C17" s="21" t="n">
        <f aca="false">INDEX($N$16:$N$21,$L17)</f>
        <v>0</v>
      </c>
      <c r="D17" s="21" t="n">
        <f aca="false">INDEX($O$16:$O$21,$L17)</f>
        <v>0</v>
      </c>
      <c r="E17" s="21" t="n">
        <f aca="false">INDEX($P$16:$P$21,$L17)</f>
        <v>0</v>
      </c>
      <c r="F17" s="21" t="n">
        <f aca="false">INDEX($Q$16:$Q$21,$L17)</f>
        <v>0</v>
      </c>
      <c r="G17" s="21" t="n">
        <f aca="false">INDEX($R$16:$R$21,$L17)</f>
        <v>0</v>
      </c>
      <c r="H17" s="21" t="n">
        <f aca="false">INDEX($S$16:$S$21,$L17)</f>
        <v>0</v>
      </c>
      <c r="I17" s="21" t="n">
        <f aca="false">INDEX($T$16:$T$21,$L17)</f>
        <v>0</v>
      </c>
      <c r="J17" s="28" t="n">
        <f aca="false">INDEX($U$16:$U$21,$L17)</f>
        <v>0</v>
      </c>
      <c r="L17" s="10" t="n">
        <f aca="false">MATCH(LARGE($V$16:$V$21,ROW()-15),$V$16:$V$21,0)</f>
        <v>2</v>
      </c>
      <c r="M17" s="10" t="s">
        <v>10</v>
      </c>
      <c r="N17" s="10" t="n">
        <f aca="false">SUMPRODUCT(('U9-U10 Scores'!$C$5:$C$64=$M17)*('U9-U10 Scores'!$D$5:$D$64&lt;&gt;"")*('U9-U10 Scores'!$E$5:$E$64&lt;&gt;""))+SUMPRODUCT(('U9-U10 Scores'!$F$5:$F$64=$M17)*('U9-U10 Scores'!$D$5:$D$64&lt;&gt;"")*('U9-U10 Scores'!$E$5:$E$64&lt;&gt;""))</f>
        <v>0</v>
      </c>
      <c r="O17" s="10" t="n">
        <f aca="false">SUMPRODUCT(('U9-U10 Scores'!$C$5:$C$64=$M17)*('U9-U10 Scores'!$D$5:$D$64&lt;&gt;"")*('U9-U10 Scores'!$E$5:$E$64&lt;&gt;"")*('U9-U10 Scores'!$D$5:$D$64&gt;'U9-U10 Scores'!$E$5:$E$64))+SUMPRODUCT(('U9-U10 Scores'!$F$5:$F$64=$M17)*('U9-U10 Scores'!$D$5:$D$64&lt;&gt;"")*('U9-U10 Scores'!$E$5:$E$64&lt;&gt;"")*('U9-U10 Scores'!$E$5:$E$64&gt;'U9-U10 Scores'!$D$5:$D$64))</f>
        <v>0</v>
      </c>
      <c r="P17" s="10" t="n">
        <f aca="false">SUMPRODUCT((('U9-U10 Scores'!$C$5:$C$64=$M17)+('U9-U10 Scores'!$F$5:$F$64=$M17))*('U9-U10 Scores'!$D$5:$D$64&lt;&gt;"")*('U9-U10 Scores'!$E$5:$E$64&lt;&gt;"")*('U9-U10 Scores'!$D$5:$D$64='U9-U10 Scores'!$E$5:$E$64))</f>
        <v>0</v>
      </c>
      <c r="Q17" s="10" t="n">
        <f aca="false">$N17-$O17-$P17</f>
        <v>0</v>
      </c>
      <c r="R17" s="10" t="n">
        <f aca="false">SUMPRODUCT(('U9-U10 Scores'!$C$5:$C$64=$M17)*('U9-U10 Scores'!$D$5:$D$64&lt;&gt;"")*('U9-U10 Scores'!$E$5:$E$64&lt;&gt;"")*'U9-U10 Scores'!$D$5:$D$64)+SUMPRODUCT(('U9-U10 Scores'!$F$5:$F$64=$M17)*('U9-U10 Scores'!$D$5:$D$64&lt;&gt;"")*('U9-U10 Scores'!$E$5:$E$64&lt;&gt;"")*'U9-U10 Scores'!$E$5:$E$64)</f>
        <v>0</v>
      </c>
      <c r="S17" s="10" t="n">
        <f aca="false">SUMPRODUCT(('U9-U10 Scores'!$C$5:$C$64=$M17)*('U9-U10 Scores'!$D$5:$D$64&lt;&gt;"")*('U9-U10 Scores'!$E$5:$E$64&lt;&gt;"")*'U9-U10 Scores'!$E$5:$E$64)+SUMPRODUCT(('U9-U10 Scores'!$F$5:$F$64=$M17)*('U9-U10 Scores'!$D$5:$D$64&lt;&gt;"")*('U9-U10 Scores'!$E$5:$E$64&lt;&gt;"")*'U9-U10 Scores'!$D$5:$D$64)</f>
        <v>0</v>
      </c>
      <c r="T17" s="10" t="n">
        <f aca="false">$R17-$S17</f>
        <v>0</v>
      </c>
      <c r="U17" s="10" t="n">
        <f aca="false">3*$O17+$P17</f>
        <v>0</v>
      </c>
      <c r="V17" s="10" t="n">
        <f aca="false">$U17*1000000+($T17+500)*1000+$R17+(22-ROW())*0.01</f>
        <v>500000.05</v>
      </c>
    </row>
    <row r="18" customFormat="false" ht="15" hidden="false" customHeight="false" outlineLevel="0" collapsed="false">
      <c r="A18" s="17" t="n">
        <v>3</v>
      </c>
      <c r="B18" s="25" t="str">
        <f aca="false">INDEX($M$16:$M$21,$L18)</f>
        <v>Argentina</v>
      </c>
      <c r="C18" s="17" t="n">
        <f aca="false">INDEX($N$16:$N$21,$L18)</f>
        <v>0</v>
      </c>
      <c r="D18" s="17" t="n">
        <f aca="false">INDEX($O$16:$O$21,$L18)</f>
        <v>0</v>
      </c>
      <c r="E18" s="17" t="n">
        <f aca="false">INDEX($P$16:$P$21,$L18)</f>
        <v>0</v>
      </c>
      <c r="F18" s="17" t="n">
        <f aca="false">INDEX($Q$16:$Q$21,$L18)</f>
        <v>0</v>
      </c>
      <c r="G18" s="17" t="n">
        <f aca="false">INDEX($R$16:$R$21,$L18)</f>
        <v>0</v>
      </c>
      <c r="H18" s="17" t="n">
        <f aca="false">INDEX($S$16:$S$21,$L18)</f>
        <v>0</v>
      </c>
      <c r="I18" s="17" t="n">
        <f aca="false">INDEX($T$16:$T$21,$L18)</f>
        <v>0</v>
      </c>
      <c r="J18" s="26" t="n">
        <f aca="false">INDEX($U$16:$U$21,$L18)</f>
        <v>0</v>
      </c>
      <c r="L18" s="10" t="n">
        <f aca="false">MATCH(LARGE($V$16:$V$21,ROW()-15),$V$16:$V$21,0)</f>
        <v>3</v>
      </c>
      <c r="M18" s="10" t="s">
        <v>14</v>
      </c>
      <c r="N18" s="10" t="n">
        <f aca="false">SUMPRODUCT(('U9-U10 Scores'!$C$5:$C$64=$M18)*('U9-U10 Scores'!$D$5:$D$64&lt;&gt;"")*('U9-U10 Scores'!$E$5:$E$64&lt;&gt;""))+SUMPRODUCT(('U9-U10 Scores'!$F$5:$F$64=$M18)*('U9-U10 Scores'!$D$5:$D$64&lt;&gt;"")*('U9-U10 Scores'!$E$5:$E$64&lt;&gt;""))</f>
        <v>0</v>
      </c>
      <c r="O18" s="10" t="n">
        <f aca="false">SUMPRODUCT(('U9-U10 Scores'!$C$5:$C$64=$M18)*('U9-U10 Scores'!$D$5:$D$64&lt;&gt;"")*('U9-U10 Scores'!$E$5:$E$64&lt;&gt;"")*('U9-U10 Scores'!$D$5:$D$64&gt;'U9-U10 Scores'!$E$5:$E$64))+SUMPRODUCT(('U9-U10 Scores'!$F$5:$F$64=$M18)*('U9-U10 Scores'!$D$5:$D$64&lt;&gt;"")*('U9-U10 Scores'!$E$5:$E$64&lt;&gt;"")*('U9-U10 Scores'!$E$5:$E$64&gt;'U9-U10 Scores'!$D$5:$D$64))</f>
        <v>0</v>
      </c>
      <c r="P18" s="10" t="n">
        <f aca="false">SUMPRODUCT((('U9-U10 Scores'!$C$5:$C$64=$M18)+('U9-U10 Scores'!$F$5:$F$64=$M18))*('U9-U10 Scores'!$D$5:$D$64&lt;&gt;"")*('U9-U10 Scores'!$E$5:$E$64&lt;&gt;"")*('U9-U10 Scores'!$D$5:$D$64='U9-U10 Scores'!$E$5:$E$64))</f>
        <v>0</v>
      </c>
      <c r="Q18" s="10" t="n">
        <f aca="false">$N18-$O18-$P18</f>
        <v>0</v>
      </c>
      <c r="R18" s="10" t="n">
        <f aca="false">SUMPRODUCT(('U9-U10 Scores'!$C$5:$C$64=$M18)*('U9-U10 Scores'!$D$5:$D$64&lt;&gt;"")*('U9-U10 Scores'!$E$5:$E$64&lt;&gt;"")*'U9-U10 Scores'!$D$5:$D$64)+SUMPRODUCT(('U9-U10 Scores'!$F$5:$F$64=$M18)*('U9-U10 Scores'!$D$5:$D$64&lt;&gt;"")*('U9-U10 Scores'!$E$5:$E$64&lt;&gt;"")*'U9-U10 Scores'!$E$5:$E$64)</f>
        <v>0</v>
      </c>
      <c r="S18" s="10" t="n">
        <f aca="false">SUMPRODUCT(('U9-U10 Scores'!$C$5:$C$64=$M18)*('U9-U10 Scores'!$D$5:$D$64&lt;&gt;"")*('U9-U10 Scores'!$E$5:$E$64&lt;&gt;"")*'U9-U10 Scores'!$E$5:$E$64)+SUMPRODUCT(('U9-U10 Scores'!$F$5:$F$64=$M18)*('U9-U10 Scores'!$D$5:$D$64&lt;&gt;"")*('U9-U10 Scores'!$E$5:$E$64&lt;&gt;"")*'U9-U10 Scores'!$D$5:$D$64)</f>
        <v>0</v>
      </c>
      <c r="T18" s="10" t="n">
        <f aca="false">$R18-$S18</f>
        <v>0</v>
      </c>
      <c r="U18" s="10" t="n">
        <f aca="false">3*$O18+$P18</f>
        <v>0</v>
      </c>
      <c r="V18" s="10" t="n">
        <f aca="false">$U18*1000000+($T18+500)*1000+$R18+(22-ROW())*0.01</f>
        <v>500000.04</v>
      </c>
    </row>
    <row r="19" customFormat="false" ht="15" hidden="false" customHeight="false" outlineLevel="0" collapsed="false">
      <c r="A19" s="21" t="n">
        <v>4</v>
      </c>
      <c r="B19" s="27" t="str">
        <f aca="false">INDEX($M$16:$M$21,$L19)</f>
        <v>Netherlands</v>
      </c>
      <c r="C19" s="21" t="n">
        <f aca="false">INDEX($N$16:$N$21,$L19)</f>
        <v>0</v>
      </c>
      <c r="D19" s="21" t="n">
        <f aca="false">INDEX($O$16:$O$21,$L19)</f>
        <v>0</v>
      </c>
      <c r="E19" s="21" t="n">
        <f aca="false">INDEX($P$16:$P$21,$L19)</f>
        <v>0</v>
      </c>
      <c r="F19" s="21" t="n">
        <f aca="false">INDEX($Q$16:$Q$21,$L19)</f>
        <v>0</v>
      </c>
      <c r="G19" s="21" t="n">
        <f aca="false">INDEX($R$16:$R$21,$L19)</f>
        <v>0</v>
      </c>
      <c r="H19" s="21" t="n">
        <f aca="false">INDEX($S$16:$S$21,$L19)</f>
        <v>0</v>
      </c>
      <c r="I19" s="21" t="n">
        <f aca="false">INDEX($T$16:$T$21,$L19)</f>
        <v>0</v>
      </c>
      <c r="J19" s="28" t="n">
        <f aca="false">INDEX($U$16:$U$21,$L19)</f>
        <v>0</v>
      </c>
      <c r="L19" s="10" t="n">
        <f aca="false">MATCH(LARGE($V$16:$V$21,ROW()-15),$V$16:$V$21,0)</f>
        <v>4</v>
      </c>
      <c r="M19" s="10" t="s">
        <v>18</v>
      </c>
      <c r="N19" s="10" t="n">
        <f aca="false">SUMPRODUCT(('U9-U10 Scores'!$C$5:$C$64=$M19)*('U9-U10 Scores'!$D$5:$D$64&lt;&gt;"")*('U9-U10 Scores'!$E$5:$E$64&lt;&gt;""))+SUMPRODUCT(('U9-U10 Scores'!$F$5:$F$64=$M19)*('U9-U10 Scores'!$D$5:$D$64&lt;&gt;"")*('U9-U10 Scores'!$E$5:$E$64&lt;&gt;""))</f>
        <v>0</v>
      </c>
      <c r="O19" s="10" t="n">
        <f aca="false">SUMPRODUCT(('U9-U10 Scores'!$C$5:$C$64=$M19)*('U9-U10 Scores'!$D$5:$D$64&lt;&gt;"")*('U9-U10 Scores'!$E$5:$E$64&lt;&gt;"")*('U9-U10 Scores'!$D$5:$D$64&gt;'U9-U10 Scores'!$E$5:$E$64))+SUMPRODUCT(('U9-U10 Scores'!$F$5:$F$64=$M19)*('U9-U10 Scores'!$D$5:$D$64&lt;&gt;"")*('U9-U10 Scores'!$E$5:$E$64&lt;&gt;"")*('U9-U10 Scores'!$E$5:$E$64&gt;'U9-U10 Scores'!$D$5:$D$64))</f>
        <v>0</v>
      </c>
      <c r="P19" s="10" t="n">
        <f aca="false">SUMPRODUCT((('U9-U10 Scores'!$C$5:$C$64=$M19)+('U9-U10 Scores'!$F$5:$F$64=$M19))*('U9-U10 Scores'!$D$5:$D$64&lt;&gt;"")*('U9-U10 Scores'!$E$5:$E$64&lt;&gt;"")*('U9-U10 Scores'!$D$5:$D$64='U9-U10 Scores'!$E$5:$E$64))</f>
        <v>0</v>
      </c>
      <c r="Q19" s="10" t="n">
        <f aca="false">$N19-$O19-$P19</f>
        <v>0</v>
      </c>
      <c r="R19" s="10" t="n">
        <f aca="false">SUMPRODUCT(('U9-U10 Scores'!$C$5:$C$64=$M19)*('U9-U10 Scores'!$D$5:$D$64&lt;&gt;"")*('U9-U10 Scores'!$E$5:$E$64&lt;&gt;"")*'U9-U10 Scores'!$D$5:$D$64)+SUMPRODUCT(('U9-U10 Scores'!$F$5:$F$64=$M19)*('U9-U10 Scores'!$D$5:$D$64&lt;&gt;"")*('U9-U10 Scores'!$E$5:$E$64&lt;&gt;"")*'U9-U10 Scores'!$E$5:$E$64)</f>
        <v>0</v>
      </c>
      <c r="S19" s="10" t="n">
        <f aca="false">SUMPRODUCT(('U9-U10 Scores'!$C$5:$C$64=$M19)*('U9-U10 Scores'!$D$5:$D$64&lt;&gt;"")*('U9-U10 Scores'!$E$5:$E$64&lt;&gt;"")*'U9-U10 Scores'!$E$5:$E$64)+SUMPRODUCT(('U9-U10 Scores'!$F$5:$F$64=$M19)*('U9-U10 Scores'!$D$5:$D$64&lt;&gt;"")*('U9-U10 Scores'!$E$5:$E$64&lt;&gt;"")*'U9-U10 Scores'!$D$5:$D$64)</f>
        <v>0</v>
      </c>
      <c r="T19" s="10" t="n">
        <f aca="false">$R19-$S19</f>
        <v>0</v>
      </c>
      <c r="U19" s="10" t="n">
        <f aca="false">3*$O19+$P19</f>
        <v>0</v>
      </c>
      <c r="V19" s="10" t="n">
        <f aca="false">$U19*1000000+($T19+500)*1000+$R19+(22-ROW())*0.01</f>
        <v>500000.03</v>
      </c>
    </row>
    <row r="20" customFormat="false" ht="15" hidden="false" customHeight="false" outlineLevel="0" collapsed="false">
      <c r="A20" s="17" t="n">
        <v>5</v>
      </c>
      <c r="B20" s="25" t="str">
        <f aca="false">INDEX($M$16:$M$21,$L20)</f>
        <v>Canada</v>
      </c>
      <c r="C20" s="17" t="n">
        <f aca="false">INDEX($N$16:$N$21,$L20)</f>
        <v>0</v>
      </c>
      <c r="D20" s="17" t="n">
        <f aca="false">INDEX($O$16:$O$21,$L20)</f>
        <v>0</v>
      </c>
      <c r="E20" s="17" t="n">
        <f aca="false">INDEX($P$16:$P$21,$L20)</f>
        <v>0</v>
      </c>
      <c r="F20" s="17" t="n">
        <f aca="false">INDEX($Q$16:$Q$21,$L20)</f>
        <v>0</v>
      </c>
      <c r="G20" s="17" t="n">
        <f aca="false">INDEX($R$16:$R$21,$L20)</f>
        <v>0</v>
      </c>
      <c r="H20" s="17" t="n">
        <f aca="false">INDEX($S$16:$S$21,$L20)</f>
        <v>0</v>
      </c>
      <c r="I20" s="17" t="n">
        <f aca="false">INDEX($T$16:$T$21,$L20)</f>
        <v>0</v>
      </c>
      <c r="J20" s="26" t="n">
        <f aca="false">INDEX($U$16:$U$21,$L20)</f>
        <v>0</v>
      </c>
      <c r="L20" s="10" t="n">
        <f aca="false">MATCH(LARGE($V$16:$V$21,ROW()-15),$V$16:$V$21,0)</f>
        <v>5</v>
      </c>
      <c r="M20" s="10" t="s">
        <v>22</v>
      </c>
      <c r="N20" s="10" t="n">
        <f aca="false">SUMPRODUCT(('U9-U10 Scores'!$C$5:$C$64=$M20)*('U9-U10 Scores'!$D$5:$D$64&lt;&gt;"")*('U9-U10 Scores'!$E$5:$E$64&lt;&gt;""))+SUMPRODUCT(('U9-U10 Scores'!$F$5:$F$64=$M20)*('U9-U10 Scores'!$D$5:$D$64&lt;&gt;"")*('U9-U10 Scores'!$E$5:$E$64&lt;&gt;""))</f>
        <v>0</v>
      </c>
      <c r="O20" s="10" t="n">
        <f aca="false">SUMPRODUCT(('U9-U10 Scores'!$C$5:$C$64=$M20)*('U9-U10 Scores'!$D$5:$D$64&lt;&gt;"")*('U9-U10 Scores'!$E$5:$E$64&lt;&gt;"")*('U9-U10 Scores'!$D$5:$D$64&gt;'U9-U10 Scores'!$E$5:$E$64))+SUMPRODUCT(('U9-U10 Scores'!$F$5:$F$64=$M20)*('U9-U10 Scores'!$D$5:$D$64&lt;&gt;"")*('U9-U10 Scores'!$E$5:$E$64&lt;&gt;"")*('U9-U10 Scores'!$E$5:$E$64&gt;'U9-U10 Scores'!$D$5:$D$64))</f>
        <v>0</v>
      </c>
      <c r="P20" s="10" t="n">
        <f aca="false">SUMPRODUCT((('U9-U10 Scores'!$C$5:$C$64=$M20)+('U9-U10 Scores'!$F$5:$F$64=$M20))*('U9-U10 Scores'!$D$5:$D$64&lt;&gt;"")*('U9-U10 Scores'!$E$5:$E$64&lt;&gt;"")*('U9-U10 Scores'!$D$5:$D$64='U9-U10 Scores'!$E$5:$E$64))</f>
        <v>0</v>
      </c>
      <c r="Q20" s="10" t="n">
        <f aca="false">$N20-$O20-$P20</f>
        <v>0</v>
      </c>
      <c r="R20" s="10" t="n">
        <f aca="false">SUMPRODUCT(('U9-U10 Scores'!$C$5:$C$64=$M20)*('U9-U10 Scores'!$D$5:$D$64&lt;&gt;"")*('U9-U10 Scores'!$E$5:$E$64&lt;&gt;"")*'U9-U10 Scores'!$D$5:$D$64)+SUMPRODUCT(('U9-U10 Scores'!$F$5:$F$64=$M20)*('U9-U10 Scores'!$D$5:$D$64&lt;&gt;"")*('U9-U10 Scores'!$E$5:$E$64&lt;&gt;"")*'U9-U10 Scores'!$E$5:$E$64)</f>
        <v>0</v>
      </c>
      <c r="S20" s="10" t="n">
        <f aca="false">SUMPRODUCT(('U9-U10 Scores'!$C$5:$C$64=$M20)*('U9-U10 Scores'!$D$5:$D$64&lt;&gt;"")*('U9-U10 Scores'!$E$5:$E$64&lt;&gt;"")*'U9-U10 Scores'!$E$5:$E$64)+SUMPRODUCT(('U9-U10 Scores'!$F$5:$F$64=$M20)*('U9-U10 Scores'!$D$5:$D$64&lt;&gt;"")*('U9-U10 Scores'!$E$5:$E$64&lt;&gt;"")*'U9-U10 Scores'!$D$5:$D$64)</f>
        <v>0</v>
      </c>
      <c r="T20" s="10" t="n">
        <f aca="false">$R20-$S20</f>
        <v>0</v>
      </c>
      <c r="U20" s="10" t="n">
        <f aca="false">3*$O20+$P20</f>
        <v>0</v>
      </c>
      <c r="V20" s="10" t="n">
        <f aca="false">$U20*1000000+($T20+500)*1000+$R20+(22-ROW())*0.01</f>
        <v>500000.02</v>
      </c>
    </row>
    <row r="21" customFormat="false" ht="15" hidden="false" customHeight="false" outlineLevel="0" collapsed="false">
      <c r="A21" s="21" t="n">
        <v>6</v>
      </c>
      <c r="B21" s="27" t="str">
        <f aca="false">INDEX($M$16:$M$21,$L21)</f>
        <v>Scotland</v>
      </c>
      <c r="C21" s="21" t="n">
        <f aca="false">INDEX($N$16:$N$21,$L21)</f>
        <v>0</v>
      </c>
      <c r="D21" s="21" t="n">
        <f aca="false">INDEX($O$16:$O$21,$L21)</f>
        <v>0</v>
      </c>
      <c r="E21" s="21" t="n">
        <f aca="false">INDEX($P$16:$P$21,$L21)</f>
        <v>0</v>
      </c>
      <c r="F21" s="21" t="n">
        <f aca="false">INDEX($Q$16:$Q$21,$L21)</f>
        <v>0</v>
      </c>
      <c r="G21" s="21" t="n">
        <f aca="false">INDEX($R$16:$R$21,$L21)</f>
        <v>0</v>
      </c>
      <c r="H21" s="21" t="n">
        <f aca="false">INDEX($S$16:$S$21,$L21)</f>
        <v>0</v>
      </c>
      <c r="I21" s="21" t="n">
        <f aca="false">INDEX($T$16:$T$21,$L21)</f>
        <v>0</v>
      </c>
      <c r="J21" s="28" t="n">
        <f aca="false">INDEX($U$16:$U$21,$L21)</f>
        <v>0</v>
      </c>
      <c r="L21" s="10" t="n">
        <f aca="false">MATCH(LARGE($V$16:$V$21,ROW()-15),$V$16:$V$21,0)</f>
        <v>6</v>
      </c>
      <c r="M21" s="10" t="s">
        <v>26</v>
      </c>
      <c r="N21" s="10" t="n">
        <f aca="false">SUMPRODUCT(('U9-U10 Scores'!$C$5:$C$64=$M21)*('U9-U10 Scores'!$D$5:$D$64&lt;&gt;"")*('U9-U10 Scores'!$E$5:$E$64&lt;&gt;""))+SUMPRODUCT(('U9-U10 Scores'!$F$5:$F$64=$M21)*('U9-U10 Scores'!$D$5:$D$64&lt;&gt;"")*('U9-U10 Scores'!$E$5:$E$64&lt;&gt;""))</f>
        <v>0</v>
      </c>
      <c r="O21" s="10" t="n">
        <f aca="false">SUMPRODUCT(('U9-U10 Scores'!$C$5:$C$64=$M21)*('U9-U10 Scores'!$D$5:$D$64&lt;&gt;"")*('U9-U10 Scores'!$E$5:$E$64&lt;&gt;"")*('U9-U10 Scores'!$D$5:$D$64&gt;'U9-U10 Scores'!$E$5:$E$64))+SUMPRODUCT(('U9-U10 Scores'!$F$5:$F$64=$M21)*('U9-U10 Scores'!$D$5:$D$64&lt;&gt;"")*('U9-U10 Scores'!$E$5:$E$64&lt;&gt;"")*('U9-U10 Scores'!$E$5:$E$64&gt;'U9-U10 Scores'!$D$5:$D$64))</f>
        <v>0</v>
      </c>
      <c r="P21" s="10" t="n">
        <f aca="false">SUMPRODUCT((('U9-U10 Scores'!$C$5:$C$64=$M21)+('U9-U10 Scores'!$F$5:$F$64=$M21))*('U9-U10 Scores'!$D$5:$D$64&lt;&gt;"")*('U9-U10 Scores'!$E$5:$E$64&lt;&gt;"")*('U9-U10 Scores'!$D$5:$D$64='U9-U10 Scores'!$E$5:$E$64))</f>
        <v>0</v>
      </c>
      <c r="Q21" s="10" t="n">
        <f aca="false">$N21-$O21-$P21</f>
        <v>0</v>
      </c>
      <c r="R21" s="10" t="n">
        <f aca="false">SUMPRODUCT(('U9-U10 Scores'!$C$5:$C$64=$M21)*('U9-U10 Scores'!$D$5:$D$64&lt;&gt;"")*('U9-U10 Scores'!$E$5:$E$64&lt;&gt;"")*'U9-U10 Scores'!$D$5:$D$64)+SUMPRODUCT(('U9-U10 Scores'!$F$5:$F$64=$M21)*('U9-U10 Scores'!$D$5:$D$64&lt;&gt;"")*('U9-U10 Scores'!$E$5:$E$64&lt;&gt;"")*'U9-U10 Scores'!$E$5:$E$64)</f>
        <v>0</v>
      </c>
      <c r="S21" s="10" t="n">
        <f aca="false">SUMPRODUCT(('U9-U10 Scores'!$C$5:$C$64=$M21)*('U9-U10 Scores'!$D$5:$D$64&lt;&gt;"")*('U9-U10 Scores'!$E$5:$E$64&lt;&gt;"")*'U9-U10 Scores'!$E$5:$E$64)+SUMPRODUCT(('U9-U10 Scores'!$F$5:$F$64=$M21)*('U9-U10 Scores'!$D$5:$D$64&lt;&gt;"")*('U9-U10 Scores'!$E$5:$E$64&lt;&gt;"")*'U9-U10 Scores'!$D$5:$D$64)</f>
        <v>0</v>
      </c>
      <c r="T21" s="10" t="n">
        <f aca="false">$R21-$S21</f>
        <v>0</v>
      </c>
      <c r="U21" s="10" t="n">
        <f aca="false">3*$O21+$P21</f>
        <v>0</v>
      </c>
      <c r="V21" s="10" t="n">
        <f aca="false">$U21*1000000+($T21+500)*1000+$R21+(22-ROW())*0.01</f>
        <v>500000.01</v>
      </c>
    </row>
  </sheetData>
  <mergeCells count="2">
    <mergeCell ref="A4:J4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K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true" outlineLevel="0" max="4" min="4" style="0" width="10"/>
    <col collapsed="false" customWidth="true" hidden="false" outlineLevel="0" max="5" min="5" style="0" width="3"/>
    <col collapsed="false" customWidth="true" hidden="false" outlineLevel="0" max="6" min="6" style="0" width="7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8"/>
    <col collapsed="false" customWidth="true" hidden="true" outlineLevel="0" max="11" min="11" style="0" width="13"/>
  </cols>
  <sheetData>
    <row r="1" customFormat="false" ht="19.7" hidden="false" customHeight="false" outlineLevel="0" collapsed="false">
      <c r="A1" s="14" t="s">
        <v>103</v>
      </c>
    </row>
    <row r="2" customFormat="false" ht="15" hidden="false" customHeight="false" outlineLevel="0" collapsed="false">
      <c r="A2" s="15" t="s">
        <v>104</v>
      </c>
    </row>
    <row r="3" customFormat="false" ht="15" hidden="false" customHeight="false" outlineLevel="0" collapsed="false">
      <c r="A3" s="15" t="s">
        <v>105</v>
      </c>
    </row>
    <row r="4" customFormat="false" ht="15" hidden="false" customHeight="false" outlineLevel="0" collapsed="false">
      <c r="A4" s="29" t="s">
        <v>106</v>
      </c>
      <c r="B4" s="29"/>
      <c r="F4" s="29" t="s">
        <v>107</v>
      </c>
      <c r="G4" s="29"/>
      <c r="H4" s="29"/>
      <c r="I4" s="29"/>
    </row>
    <row r="5" customFormat="false" ht="15" hidden="false" customHeight="false" outlineLevel="0" collapsed="false">
      <c r="A5" s="16" t="s">
        <v>108</v>
      </c>
      <c r="B5" s="16" t="s">
        <v>96</v>
      </c>
      <c r="F5" s="16" t="s">
        <v>109</v>
      </c>
      <c r="G5" s="16" t="s">
        <v>108</v>
      </c>
      <c r="H5" s="16" t="s">
        <v>96</v>
      </c>
      <c r="I5" s="16" t="s">
        <v>110</v>
      </c>
    </row>
    <row r="6" customFormat="false" ht="15" hidden="false" customHeight="false" outlineLevel="0" collapsed="false">
      <c r="A6" s="30"/>
      <c r="B6" s="30"/>
      <c r="D6" s="0" t="str">
        <f aca="false">IF($A6="","",IF(COUNTIF($A$6:$A6,$A6)=1,COUNTIF($A$6:$A$305,$A6)*10000+(9999-ROW()),""))</f>
        <v/>
      </c>
      <c r="F6" s="17" t="str">
        <f aca="false">IF($K6="","",ROW()-5)</f>
        <v/>
      </c>
      <c r="G6" s="31" t="str">
        <f aca="false">IF($K6="","",INDEX($A$6:$A$305,MATCH($K6,$D$6:$D$305,0)))</f>
        <v/>
      </c>
      <c r="H6" s="17" t="str">
        <f aca="false">IF($K6="","",INDEX($B$6:$B$305,MATCH($K6,$D$6:$D$305,0)))</f>
        <v/>
      </c>
      <c r="I6" s="26" t="str">
        <f aca="false">IF($K6="","",INT($K6/10000))</f>
        <v/>
      </c>
      <c r="K6" s="0" t="str">
        <f aca="false">IFERROR(LARGE($D$6:$D$305,ROW()-5),"")</f>
        <v/>
      </c>
    </row>
    <row r="7" customFormat="false" ht="15" hidden="false" customHeight="false" outlineLevel="0" collapsed="false">
      <c r="A7" s="30"/>
      <c r="B7" s="30"/>
      <c r="D7" s="0" t="str">
        <f aca="false">IF($A7="","",IF(COUNTIF($A$6:$A7,$A7)=1,COUNTIF($A$6:$A$305,$A7)*10000+(9999-ROW()),""))</f>
        <v/>
      </c>
      <c r="F7" s="21" t="str">
        <f aca="false">IF($K7="","",ROW()-5)</f>
        <v/>
      </c>
      <c r="G7" s="32" t="str">
        <f aca="false">IF($K7="","",INDEX($A$6:$A$305,MATCH($K7,$D$6:$D$305,0)))</f>
        <v/>
      </c>
      <c r="H7" s="21" t="str">
        <f aca="false">IF($K7="","",INDEX($B$6:$B$305,MATCH($K7,$D$6:$D$305,0)))</f>
        <v/>
      </c>
      <c r="I7" s="28" t="str">
        <f aca="false">IF($K7="","",INT($K7/10000))</f>
        <v/>
      </c>
      <c r="K7" s="0" t="str">
        <f aca="false">IFERROR(LARGE($D$6:$D$305,ROW()-5),"")</f>
        <v/>
      </c>
    </row>
    <row r="8" customFormat="false" ht="15" hidden="false" customHeight="false" outlineLevel="0" collapsed="false">
      <c r="A8" s="30"/>
      <c r="B8" s="30"/>
      <c r="D8" s="0" t="str">
        <f aca="false">IF($A8="","",IF(COUNTIF($A$6:$A8,$A8)=1,COUNTIF($A$6:$A$305,$A8)*10000+(9999-ROW()),""))</f>
        <v/>
      </c>
      <c r="F8" s="17" t="str">
        <f aca="false">IF($K8="","",ROW()-5)</f>
        <v/>
      </c>
      <c r="G8" s="31" t="str">
        <f aca="false">IF($K8="","",INDEX($A$6:$A$305,MATCH($K8,$D$6:$D$305,0)))</f>
        <v/>
      </c>
      <c r="H8" s="17" t="str">
        <f aca="false">IF($K8="","",INDEX($B$6:$B$305,MATCH($K8,$D$6:$D$305,0)))</f>
        <v/>
      </c>
      <c r="I8" s="26" t="str">
        <f aca="false">IF($K8="","",INT($K8/10000))</f>
        <v/>
      </c>
      <c r="K8" s="0" t="str">
        <f aca="false">IFERROR(LARGE($D$6:$D$305,ROW()-5),"")</f>
        <v/>
      </c>
    </row>
    <row r="9" customFormat="false" ht="15" hidden="false" customHeight="false" outlineLevel="0" collapsed="false">
      <c r="A9" s="30"/>
      <c r="B9" s="30"/>
      <c r="D9" s="0" t="str">
        <f aca="false">IF($A9="","",IF(COUNTIF($A$6:$A9,$A9)=1,COUNTIF($A$6:$A$305,$A9)*10000+(9999-ROW()),""))</f>
        <v/>
      </c>
      <c r="F9" s="21" t="str">
        <f aca="false">IF($K9="","",ROW()-5)</f>
        <v/>
      </c>
      <c r="G9" s="32" t="str">
        <f aca="false">IF($K9="","",INDEX($A$6:$A$305,MATCH($K9,$D$6:$D$305,0)))</f>
        <v/>
      </c>
      <c r="H9" s="21" t="str">
        <f aca="false">IF($K9="","",INDEX($B$6:$B$305,MATCH($K9,$D$6:$D$305,0)))</f>
        <v/>
      </c>
      <c r="I9" s="28" t="str">
        <f aca="false">IF($K9="","",INT($K9/10000))</f>
        <v/>
      </c>
      <c r="K9" s="0" t="str">
        <f aca="false">IFERROR(LARGE($D$6:$D$305,ROW()-5),"")</f>
        <v/>
      </c>
    </row>
    <row r="10" customFormat="false" ht="15" hidden="false" customHeight="false" outlineLevel="0" collapsed="false">
      <c r="A10" s="30"/>
      <c r="B10" s="30"/>
      <c r="D10" s="0" t="str">
        <f aca="false">IF($A10="","",IF(COUNTIF($A$6:$A10,$A10)=1,COUNTIF($A$6:$A$305,$A10)*10000+(9999-ROW()),""))</f>
        <v/>
      </c>
      <c r="F10" s="17" t="str">
        <f aca="false">IF($K10="","",ROW()-5)</f>
        <v/>
      </c>
      <c r="G10" s="31" t="str">
        <f aca="false">IF($K10="","",INDEX($A$6:$A$305,MATCH($K10,$D$6:$D$305,0)))</f>
        <v/>
      </c>
      <c r="H10" s="17" t="str">
        <f aca="false">IF($K10="","",INDEX($B$6:$B$305,MATCH($K10,$D$6:$D$305,0)))</f>
        <v/>
      </c>
      <c r="I10" s="26" t="str">
        <f aca="false">IF($K10="","",INT($K10/10000))</f>
        <v/>
      </c>
      <c r="K10" s="0" t="str">
        <f aca="false">IFERROR(LARGE($D$6:$D$305,ROW()-5),"")</f>
        <v/>
      </c>
    </row>
    <row r="11" customFormat="false" ht="15" hidden="false" customHeight="false" outlineLevel="0" collapsed="false">
      <c r="A11" s="30"/>
      <c r="B11" s="30"/>
      <c r="D11" s="0" t="str">
        <f aca="false">IF($A11="","",IF(COUNTIF($A$6:$A11,$A11)=1,COUNTIF($A$6:$A$305,$A11)*10000+(9999-ROW()),""))</f>
        <v/>
      </c>
      <c r="F11" s="21" t="str">
        <f aca="false">IF($K11="","",ROW()-5)</f>
        <v/>
      </c>
      <c r="G11" s="32" t="str">
        <f aca="false">IF($K11="","",INDEX($A$6:$A$305,MATCH($K11,$D$6:$D$305,0)))</f>
        <v/>
      </c>
      <c r="H11" s="21" t="str">
        <f aca="false">IF($K11="","",INDEX($B$6:$B$305,MATCH($K11,$D$6:$D$305,0)))</f>
        <v/>
      </c>
      <c r="I11" s="28" t="str">
        <f aca="false">IF($K11="","",INT($K11/10000))</f>
        <v/>
      </c>
      <c r="K11" s="0" t="str">
        <f aca="false">IFERROR(LARGE($D$6:$D$305,ROW()-5),"")</f>
        <v/>
      </c>
    </row>
    <row r="12" customFormat="false" ht="15" hidden="false" customHeight="false" outlineLevel="0" collapsed="false">
      <c r="A12" s="30"/>
      <c r="B12" s="30"/>
      <c r="D12" s="0" t="str">
        <f aca="false">IF($A12="","",IF(COUNTIF($A$6:$A12,$A12)=1,COUNTIF($A$6:$A$305,$A12)*10000+(9999-ROW()),""))</f>
        <v/>
      </c>
      <c r="F12" s="17" t="str">
        <f aca="false">IF($K12="","",ROW()-5)</f>
        <v/>
      </c>
      <c r="G12" s="31" t="str">
        <f aca="false">IF($K12="","",INDEX($A$6:$A$305,MATCH($K12,$D$6:$D$305,0)))</f>
        <v/>
      </c>
      <c r="H12" s="17" t="str">
        <f aca="false">IF($K12="","",INDEX($B$6:$B$305,MATCH($K12,$D$6:$D$305,0)))</f>
        <v/>
      </c>
      <c r="I12" s="26" t="str">
        <f aca="false">IF($K12="","",INT($K12/10000))</f>
        <v/>
      </c>
      <c r="K12" s="0" t="str">
        <f aca="false">IFERROR(LARGE($D$6:$D$305,ROW()-5),"")</f>
        <v/>
      </c>
    </row>
    <row r="13" customFormat="false" ht="15" hidden="false" customHeight="false" outlineLevel="0" collapsed="false">
      <c r="A13" s="30"/>
      <c r="B13" s="30"/>
      <c r="D13" s="0" t="str">
        <f aca="false">IF($A13="","",IF(COUNTIF($A$6:$A13,$A13)=1,COUNTIF($A$6:$A$305,$A13)*10000+(9999-ROW()),""))</f>
        <v/>
      </c>
      <c r="F13" s="21" t="str">
        <f aca="false">IF($K13="","",ROW()-5)</f>
        <v/>
      </c>
      <c r="G13" s="32" t="str">
        <f aca="false">IF($K13="","",INDEX($A$6:$A$305,MATCH($K13,$D$6:$D$305,0)))</f>
        <v/>
      </c>
      <c r="H13" s="21" t="str">
        <f aca="false">IF($K13="","",INDEX($B$6:$B$305,MATCH($K13,$D$6:$D$305,0)))</f>
        <v/>
      </c>
      <c r="I13" s="28" t="str">
        <f aca="false">IF($K13="","",INT($K13/10000))</f>
        <v/>
      </c>
      <c r="K13" s="0" t="str">
        <f aca="false">IFERROR(LARGE($D$6:$D$305,ROW()-5),"")</f>
        <v/>
      </c>
    </row>
    <row r="14" customFormat="false" ht="15" hidden="false" customHeight="false" outlineLevel="0" collapsed="false">
      <c r="A14" s="30"/>
      <c r="B14" s="30"/>
      <c r="D14" s="0" t="str">
        <f aca="false">IF($A14="","",IF(COUNTIF($A$6:$A14,$A14)=1,COUNTIF($A$6:$A$305,$A14)*10000+(9999-ROW()),""))</f>
        <v/>
      </c>
      <c r="F14" s="17" t="str">
        <f aca="false">IF($K14="","",ROW()-5)</f>
        <v/>
      </c>
      <c r="G14" s="31" t="str">
        <f aca="false">IF($K14="","",INDEX($A$6:$A$305,MATCH($K14,$D$6:$D$305,0)))</f>
        <v/>
      </c>
      <c r="H14" s="17" t="str">
        <f aca="false">IF($K14="","",INDEX($B$6:$B$305,MATCH($K14,$D$6:$D$305,0)))</f>
        <v/>
      </c>
      <c r="I14" s="26" t="str">
        <f aca="false">IF($K14="","",INT($K14/10000))</f>
        <v/>
      </c>
      <c r="K14" s="0" t="str">
        <f aca="false">IFERROR(LARGE($D$6:$D$305,ROW()-5),"")</f>
        <v/>
      </c>
    </row>
    <row r="15" customFormat="false" ht="15" hidden="false" customHeight="false" outlineLevel="0" collapsed="false">
      <c r="A15" s="30"/>
      <c r="B15" s="30"/>
      <c r="D15" s="0" t="str">
        <f aca="false">IF($A15="","",IF(COUNTIF($A$6:$A15,$A15)=1,COUNTIF($A$6:$A$305,$A15)*10000+(9999-ROW()),""))</f>
        <v/>
      </c>
      <c r="F15" s="21" t="str">
        <f aca="false">IF($K15="","",ROW()-5)</f>
        <v/>
      </c>
      <c r="G15" s="32" t="str">
        <f aca="false">IF($K15="","",INDEX($A$6:$A$305,MATCH($K15,$D$6:$D$305,0)))</f>
        <v/>
      </c>
      <c r="H15" s="21" t="str">
        <f aca="false">IF($K15="","",INDEX($B$6:$B$305,MATCH($K15,$D$6:$D$305,0)))</f>
        <v/>
      </c>
      <c r="I15" s="28" t="str">
        <f aca="false">IF($K15="","",INT($K15/10000))</f>
        <v/>
      </c>
      <c r="K15" s="0" t="str">
        <f aca="false">IFERROR(LARGE($D$6:$D$305,ROW()-5),"")</f>
        <v/>
      </c>
    </row>
    <row r="16" customFormat="false" ht="15" hidden="false" customHeight="false" outlineLevel="0" collapsed="false">
      <c r="A16" s="30"/>
      <c r="B16" s="30"/>
      <c r="D16" s="0" t="str">
        <f aca="false">IF($A16="","",IF(COUNTIF($A$6:$A16,$A16)=1,COUNTIF($A$6:$A$305,$A16)*10000+(9999-ROW()),""))</f>
        <v/>
      </c>
      <c r="F16" s="17" t="str">
        <f aca="false">IF($K16="","",ROW()-5)</f>
        <v/>
      </c>
      <c r="G16" s="31" t="str">
        <f aca="false">IF($K16="","",INDEX($A$6:$A$305,MATCH($K16,$D$6:$D$305,0)))</f>
        <v/>
      </c>
      <c r="H16" s="17" t="str">
        <f aca="false">IF($K16="","",INDEX($B$6:$B$305,MATCH($K16,$D$6:$D$305,0)))</f>
        <v/>
      </c>
      <c r="I16" s="26" t="str">
        <f aca="false">IF($K16="","",INT($K16/10000))</f>
        <v/>
      </c>
      <c r="K16" s="0" t="str">
        <f aca="false">IFERROR(LARGE($D$6:$D$305,ROW()-5),"")</f>
        <v/>
      </c>
    </row>
    <row r="17" customFormat="false" ht="15" hidden="false" customHeight="false" outlineLevel="0" collapsed="false">
      <c r="A17" s="30"/>
      <c r="B17" s="30"/>
      <c r="D17" s="0" t="str">
        <f aca="false">IF($A17="","",IF(COUNTIF($A$6:$A17,$A17)=1,COUNTIF($A$6:$A$305,$A17)*10000+(9999-ROW()),""))</f>
        <v/>
      </c>
      <c r="F17" s="21" t="str">
        <f aca="false">IF($K17="","",ROW()-5)</f>
        <v/>
      </c>
      <c r="G17" s="32" t="str">
        <f aca="false">IF($K17="","",INDEX($A$6:$A$305,MATCH($K17,$D$6:$D$305,0)))</f>
        <v/>
      </c>
      <c r="H17" s="21" t="str">
        <f aca="false">IF($K17="","",INDEX($B$6:$B$305,MATCH($K17,$D$6:$D$305,0)))</f>
        <v/>
      </c>
      <c r="I17" s="28" t="str">
        <f aca="false">IF($K17="","",INT($K17/10000))</f>
        <v/>
      </c>
      <c r="K17" s="0" t="str">
        <f aca="false">IFERROR(LARGE($D$6:$D$305,ROW()-5),"")</f>
        <v/>
      </c>
    </row>
    <row r="18" customFormat="false" ht="15" hidden="false" customHeight="false" outlineLevel="0" collapsed="false">
      <c r="A18" s="30"/>
      <c r="B18" s="30"/>
      <c r="D18" s="0" t="str">
        <f aca="false">IF($A18="","",IF(COUNTIF($A$6:$A18,$A18)=1,COUNTIF($A$6:$A$305,$A18)*10000+(9999-ROW()),""))</f>
        <v/>
      </c>
      <c r="F18" s="17" t="str">
        <f aca="false">IF($K18="","",ROW()-5)</f>
        <v/>
      </c>
      <c r="G18" s="31" t="str">
        <f aca="false">IF($K18="","",INDEX($A$6:$A$305,MATCH($K18,$D$6:$D$305,0)))</f>
        <v/>
      </c>
      <c r="H18" s="17" t="str">
        <f aca="false">IF($K18="","",INDEX($B$6:$B$305,MATCH($K18,$D$6:$D$305,0)))</f>
        <v/>
      </c>
      <c r="I18" s="26" t="str">
        <f aca="false">IF($K18="","",INT($K18/10000))</f>
        <v/>
      </c>
      <c r="K18" s="0" t="str">
        <f aca="false">IFERROR(LARGE($D$6:$D$305,ROW()-5),"")</f>
        <v/>
      </c>
    </row>
    <row r="19" customFormat="false" ht="15" hidden="false" customHeight="false" outlineLevel="0" collapsed="false">
      <c r="A19" s="30"/>
      <c r="B19" s="30"/>
      <c r="D19" s="0" t="str">
        <f aca="false">IF($A19="","",IF(COUNTIF($A$6:$A19,$A19)=1,COUNTIF($A$6:$A$305,$A19)*10000+(9999-ROW()),""))</f>
        <v/>
      </c>
      <c r="F19" s="21" t="str">
        <f aca="false">IF($K19="","",ROW()-5)</f>
        <v/>
      </c>
      <c r="G19" s="32" t="str">
        <f aca="false">IF($K19="","",INDEX($A$6:$A$305,MATCH($K19,$D$6:$D$305,0)))</f>
        <v/>
      </c>
      <c r="H19" s="21" t="str">
        <f aca="false">IF($K19="","",INDEX($B$6:$B$305,MATCH($K19,$D$6:$D$305,0)))</f>
        <v/>
      </c>
      <c r="I19" s="28" t="str">
        <f aca="false">IF($K19="","",INT($K19/10000))</f>
        <v/>
      </c>
      <c r="K19" s="0" t="str">
        <f aca="false">IFERROR(LARGE($D$6:$D$305,ROW()-5),"")</f>
        <v/>
      </c>
    </row>
    <row r="20" customFormat="false" ht="15" hidden="false" customHeight="false" outlineLevel="0" collapsed="false">
      <c r="A20" s="30"/>
      <c r="B20" s="30"/>
      <c r="D20" s="0" t="str">
        <f aca="false">IF($A20="","",IF(COUNTIF($A$6:$A20,$A20)=1,COUNTIF($A$6:$A$305,$A20)*10000+(9999-ROW()),""))</f>
        <v/>
      </c>
      <c r="F20" s="17" t="str">
        <f aca="false">IF($K20="","",ROW()-5)</f>
        <v/>
      </c>
      <c r="G20" s="31" t="str">
        <f aca="false">IF($K20="","",INDEX($A$6:$A$305,MATCH($K20,$D$6:$D$305,0)))</f>
        <v/>
      </c>
      <c r="H20" s="17" t="str">
        <f aca="false">IF($K20="","",INDEX($B$6:$B$305,MATCH($K20,$D$6:$D$305,0)))</f>
        <v/>
      </c>
      <c r="I20" s="26" t="str">
        <f aca="false">IF($K20="","",INT($K20/10000))</f>
        <v/>
      </c>
      <c r="K20" s="0" t="str">
        <f aca="false">IFERROR(LARGE($D$6:$D$305,ROW()-5),"")</f>
        <v/>
      </c>
    </row>
    <row r="21" customFormat="false" ht="15" hidden="false" customHeight="false" outlineLevel="0" collapsed="false">
      <c r="A21" s="30"/>
      <c r="B21" s="30"/>
      <c r="D21" s="0" t="str">
        <f aca="false">IF($A21="","",IF(COUNTIF($A$6:$A21,$A21)=1,COUNTIF($A$6:$A$305,$A21)*10000+(9999-ROW()),""))</f>
        <v/>
      </c>
      <c r="F21" s="21" t="str">
        <f aca="false">IF($K21="","",ROW()-5)</f>
        <v/>
      </c>
      <c r="G21" s="32" t="str">
        <f aca="false">IF($K21="","",INDEX($A$6:$A$305,MATCH($K21,$D$6:$D$305,0)))</f>
        <v/>
      </c>
      <c r="H21" s="21" t="str">
        <f aca="false">IF($K21="","",INDEX($B$6:$B$305,MATCH($K21,$D$6:$D$305,0)))</f>
        <v/>
      </c>
      <c r="I21" s="28" t="str">
        <f aca="false">IF($K21="","",INT($K21/10000))</f>
        <v/>
      </c>
      <c r="K21" s="0" t="str">
        <f aca="false">IFERROR(LARGE($D$6:$D$305,ROW()-5),"")</f>
        <v/>
      </c>
    </row>
    <row r="22" customFormat="false" ht="15" hidden="false" customHeight="false" outlineLevel="0" collapsed="false">
      <c r="A22" s="30"/>
      <c r="B22" s="30"/>
      <c r="D22" s="0" t="str">
        <f aca="false">IF($A22="","",IF(COUNTIF($A$6:$A22,$A22)=1,COUNTIF($A$6:$A$305,$A22)*10000+(9999-ROW()),""))</f>
        <v/>
      </c>
      <c r="F22" s="17" t="str">
        <f aca="false">IF($K22="","",ROW()-5)</f>
        <v/>
      </c>
      <c r="G22" s="31" t="str">
        <f aca="false">IF($K22="","",INDEX($A$6:$A$305,MATCH($K22,$D$6:$D$305,0)))</f>
        <v/>
      </c>
      <c r="H22" s="17" t="str">
        <f aca="false">IF($K22="","",INDEX($B$6:$B$305,MATCH($K22,$D$6:$D$305,0)))</f>
        <v/>
      </c>
      <c r="I22" s="26" t="str">
        <f aca="false">IF($K22="","",INT($K22/10000))</f>
        <v/>
      </c>
      <c r="K22" s="0" t="str">
        <f aca="false">IFERROR(LARGE($D$6:$D$305,ROW()-5),"")</f>
        <v/>
      </c>
    </row>
    <row r="23" customFormat="false" ht="15" hidden="false" customHeight="false" outlineLevel="0" collapsed="false">
      <c r="A23" s="30"/>
      <c r="B23" s="30"/>
      <c r="D23" s="0" t="str">
        <f aca="false">IF($A23="","",IF(COUNTIF($A$6:$A23,$A23)=1,COUNTIF($A$6:$A$305,$A23)*10000+(9999-ROW()),""))</f>
        <v/>
      </c>
      <c r="F23" s="21" t="str">
        <f aca="false">IF($K23="","",ROW()-5)</f>
        <v/>
      </c>
      <c r="G23" s="32" t="str">
        <f aca="false">IF($K23="","",INDEX($A$6:$A$305,MATCH($K23,$D$6:$D$305,0)))</f>
        <v/>
      </c>
      <c r="H23" s="21" t="str">
        <f aca="false">IF($K23="","",INDEX($B$6:$B$305,MATCH($K23,$D$6:$D$305,0)))</f>
        <v/>
      </c>
      <c r="I23" s="28" t="str">
        <f aca="false">IF($K23="","",INT($K23/10000))</f>
        <v/>
      </c>
      <c r="K23" s="0" t="str">
        <f aca="false">IFERROR(LARGE($D$6:$D$305,ROW()-5),"")</f>
        <v/>
      </c>
    </row>
    <row r="24" customFormat="false" ht="15" hidden="false" customHeight="false" outlineLevel="0" collapsed="false">
      <c r="A24" s="30"/>
      <c r="B24" s="30"/>
      <c r="D24" s="0" t="str">
        <f aca="false">IF($A24="","",IF(COUNTIF($A$6:$A24,$A24)=1,COUNTIF($A$6:$A$305,$A24)*10000+(9999-ROW()),""))</f>
        <v/>
      </c>
      <c r="F24" s="17" t="str">
        <f aca="false">IF($K24="","",ROW()-5)</f>
        <v/>
      </c>
      <c r="G24" s="31" t="str">
        <f aca="false">IF($K24="","",INDEX($A$6:$A$305,MATCH($K24,$D$6:$D$305,0)))</f>
        <v/>
      </c>
      <c r="H24" s="17" t="str">
        <f aca="false">IF($K24="","",INDEX($B$6:$B$305,MATCH($K24,$D$6:$D$305,0)))</f>
        <v/>
      </c>
      <c r="I24" s="26" t="str">
        <f aca="false">IF($K24="","",INT($K24/10000))</f>
        <v/>
      </c>
      <c r="K24" s="0" t="str">
        <f aca="false">IFERROR(LARGE($D$6:$D$305,ROW()-5),"")</f>
        <v/>
      </c>
    </row>
    <row r="25" customFormat="false" ht="15" hidden="false" customHeight="false" outlineLevel="0" collapsed="false">
      <c r="A25" s="30"/>
      <c r="B25" s="30"/>
      <c r="D25" s="0" t="str">
        <f aca="false">IF($A25="","",IF(COUNTIF($A$6:$A25,$A25)=1,COUNTIF($A$6:$A$305,$A25)*10000+(9999-ROW()),""))</f>
        <v/>
      </c>
      <c r="F25" s="21" t="str">
        <f aca="false">IF($K25="","",ROW()-5)</f>
        <v/>
      </c>
      <c r="G25" s="32" t="str">
        <f aca="false">IF($K25="","",INDEX($A$6:$A$305,MATCH($K25,$D$6:$D$305,0)))</f>
        <v/>
      </c>
      <c r="H25" s="21" t="str">
        <f aca="false">IF($K25="","",INDEX($B$6:$B$305,MATCH($K25,$D$6:$D$305,0)))</f>
        <v/>
      </c>
      <c r="I25" s="28" t="str">
        <f aca="false">IF($K25="","",INT($K25/10000))</f>
        <v/>
      </c>
      <c r="K25" s="0" t="str">
        <f aca="false">IFERROR(LARGE($D$6:$D$305,ROW()-5),"")</f>
        <v/>
      </c>
    </row>
    <row r="26" customFormat="false" ht="15" hidden="false" customHeight="false" outlineLevel="0" collapsed="false">
      <c r="A26" s="30"/>
      <c r="B26" s="30"/>
      <c r="D26" s="0" t="str">
        <f aca="false">IF($A26="","",IF(COUNTIF($A$6:$A26,$A26)=1,COUNTIF($A$6:$A$305,$A26)*10000+(9999-ROW()),""))</f>
        <v/>
      </c>
    </row>
    <row r="27" customFormat="false" ht="15" hidden="false" customHeight="false" outlineLevel="0" collapsed="false">
      <c r="A27" s="30"/>
      <c r="B27" s="30"/>
      <c r="D27" s="0" t="str">
        <f aca="false">IF($A27="","",IF(COUNTIF($A$6:$A27,$A27)=1,COUNTIF($A$6:$A$305,$A27)*10000+(9999-ROW()),""))</f>
        <v/>
      </c>
    </row>
    <row r="28" customFormat="false" ht="15" hidden="false" customHeight="false" outlineLevel="0" collapsed="false">
      <c r="A28" s="30"/>
      <c r="B28" s="30"/>
      <c r="D28" s="0" t="str">
        <f aca="false">IF($A28="","",IF(COUNTIF($A$6:$A28,$A28)=1,COUNTIF($A$6:$A$305,$A28)*10000+(9999-ROW()),""))</f>
        <v/>
      </c>
    </row>
    <row r="29" customFormat="false" ht="15" hidden="false" customHeight="false" outlineLevel="0" collapsed="false">
      <c r="A29" s="30"/>
      <c r="B29" s="30"/>
      <c r="D29" s="0" t="str">
        <f aca="false">IF($A29="","",IF(COUNTIF($A$6:$A29,$A29)=1,COUNTIF($A$6:$A$305,$A29)*10000+(9999-ROW()),""))</f>
        <v/>
      </c>
    </row>
    <row r="30" customFormat="false" ht="15" hidden="false" customHeight="false" outlineLevel="0" collapsed="false">
      <c r="A30" s="30"/>
      <c r="B30" s="30"/>
      <c r="D30" s="0" t="str">
        <f aca="false">IF($A30="","",IF(COUNTIF($A$6:$A30,$A30)=1,COUNTIF($A$6:$A$305,$A30)*10000+(9999-ROW()),""))</f>
        <v/>
      </c>
    </row>
    <row r="31" customFormat="false" ht="15" hidden="false" customHeight="false" outlineLevel="0" collapsed="false">
      <c r="A31" s="30"/>
      <c r="B31" s="30"/>
      <c r="D31" s="0" t="str">
        <f aca="false">IF($A31="","",IF(COUNTIF($A$6:$A31,$A31)=1,COUNTIF($A$6:$A$305,$A31)*10000+(9999-ROW()),""))</f>
        <v/>
      </c>
    </row>
    <row r="32" customFormat="false" ht="15" hidden="false" customHeight="false" outlineLevel="0" collapsed="false">
      <c r="A32" s="30"/>
      <c r="B32" s="30"/>
      <c r="D32" s="0" t="str">
        <f aca="false">IF($A32="","",IF(COUNTIF($A$6:$A32,$A32)=1,COUNTIF($A$6:$A$305,$A32)*10000+(9999-ROW()),""))</f>
        <v/>
      </c>
    </row>
    <row r="33" customFormat="false" ht="15" hidden="false" customHeight="false" outlineLevel="0" collapsed="false">
      <c r="A33" s="30"/>
      <c r="B33" s="30"/>
      <c r="D33" s="0" t="str">
        <f aca="false">IF($A33="","",IF(COUNTIF($A$6:$A33,$A33)=1,COUNTIF($A$6:$A$305,$A33)*10000+(9999-ROW()),""))</f>
        <v/>
      </c>
    </row>
    <row r="34" customFormat="false" ht="15" hidden="false" customHeight="false" outlineLevel="0" collapsed="false">
      <c r="A34" s="30"/>
      <c r="B34" s="30"/>
      <c r="D34" s="0" t="str">
        <f aca="false">IF($A34="","",IF(COUNTIF($A$6:$A34,$A34)=1,COUNTIF($A$6:$A$305,$A34)*10000+(9999-ROW()),""))</f>
        <v/>
      </c>
    </row>
    <row r="35" customFormat="false" ht="15" hidden="false" customHeight="false" outlineLevel="0" collapsed="false">
      <c r="A35" s="30"/>
      <c r="B35" s="30"/>
      <c r="D35" s="0" t="str">
        <f aca="false">IF($A35="","",IF(COUNTIF($A$6:$A35,$A35)=1,COUNTIF($A$6:$A$305,$A35)*10000+(9999-ROW()),""))</f>
        <v/>
      </c>
    </row>
    <row r="36" customFormat="false" ht="15" hidden="false" customHeight="false" outlineLevel="0" collapsed="false">
      <c r="A36" s="30"/>
      <c r="B36" s="30"/>
      <c r="D36" s="0" t="str">
        <f aca="false">IF($A36="","",IF(COUNTIF($A$6:$A36,$A36)=1,COUNTIF($A$6:$A$305,$A36)*10000+(9999-ROW()),""))</f>
        <v/>
      </c>
    </row>
    <row r="37" customFormat="false" ht="15" hidden="false" customHeight="false" outlineLevel="0" collapsed="false">
      <c r="A37" s="30"/>
      <c r="B37" s="30"/>
      <c r="D37" s="0" t="str">
        <f aca="false">IF($A37="","",IF(COUNTIF($A$6:$A37,$A37)=1,COUNTIF($A$6:$A$305,$A37)*10000+(9999-ROW()),""))</f>
        <v/>
      </c>
    </row>
    <row r="38" customFormat="false" ht="15" hidden="false" customHeight="false" outlineLevel="0" collapsed="false">
      <c r="A38" s="30"/>
      <c r="B38" s="30"/>
      <c r="D38" s="0" t="str">
        <f aca="false">IF($A38="","",IF(COUNTIF($A$6:$A38,$A38)=1,COUNTIF($A$6:$A$305,$A38)*10000+(9999-ROW()),""))</f>
        <v/>
      </c>
    </row>
    <row r="39" customFormat="false" ht="15" hidden="false" customHeight="false" outlineLevel="0" collapsed="false">
      <c r="A39" s="30"/>
      <c r="B39" s="30"/>
      <c r="D39" s="0" t="str">
        <f aca="false">IF($A39="","",IF(COUNTIF($A$6:$A39,$A39)=1,COUNTIF($A$6:$A$305,$A39)*10000+(9999-ROW()),""))</f>
        <v/>
      </c>
    </row>
    <row r="40" customFormat="false" ht="15" hidden="false" customHeight="false" outlineLevel="0" collapsed="false">
      <c r="A40" s="30"/>
      <c r="B40" s="30"/>
      <c r="D40" s="0" t="str">
        <f aca="false">IF($A40="","",IF(COUNTIF($A$6:$A40,$A40)=1,COUNTIF($A$6:$A$305,$A40)*10000+(9999-ROW()),""))</f>
        <v/>
      </c>
    </row>
    <row r="41" customFormat="false" ht="15" hidden="false" customHeight="false" outlineLevel="0" collapsed="false">
      <c r="A41" s="30"/>
      <c r="B41" s="30"/>
      <c r="D41" s="0" t="str">
        <f aca="false">IF($A41="","",IF(COUNTIF($A$6:$A41,$A41)=1,COUNTIF($A$6:$A$305,$A41)*10000+(9999-ROW()),""))</f>
        <v/>
      </c>
    </row>
    <row r="42" customFormat="false" ht="15" hidden="false" customHeight="false" outlineLevel="0" collapsed="false">
      <c r="A42" s="30"/>
      <c r="B42" s="30"/>
      <c r="D42" s="0" t="str">
        <f aca="false">IF($A42="","",IF(COUNTIF($A$6:$A42,$A42)=1,COUNTIF($A$6:$A$305,$A42)*10000+(9999-ROW()),""))</f>
        <v/>
      </c>
    </row>
    <row r="43" customFormat="false" ht="15" hidden="false" customHeight="false" outlineLevel="0" collapsed="false">
      <c r="A43" s="30"/>
      <c r="B43" s="30"/>
      <c r="D43" s="0" t="str">
        <f aca="false">IF($A43="","",IF(COUNTIF($A$6:$A43,$A43)=1,COUNTIF($A$6:$A$305,$A43)*10000+(9999-ROW()),""))</f>
        <v/>
      </c>
    </row>
    <row r="44" customFormat="false" ht="15" hidden="false" customHeight="false" outlineLevel="0" collapsed="false">
      <c r="A44" s="30"/>
      <c r="B44" s="30"/>
      <c r="D44" s="0" t="str">
        <f aca="false">IF($A44="","",IF(COUNTIF($A$6:$A44,$A44)=1,COUNTIF($A$6:$A$305,$A44)*10000+(9999-ROW()),""))</f>
        <v/>
      </c>
    </row>
    <row r="45" customFormat="false" ht="15" hidden="false" customHeight="false" outlineLevel="0" collapsed="false">
      <c r="A45" s="30"/>
      <c r="B45" s="30"/>
      <c r="D45" s="0" t="str">
        <f aca="false">IF($A45="","",IF(COUNTIF($A$6:$A45,$A45)=1,COUNTIF($A$6:$A$305,$A45)*10000+(9999-ROW()),""))</f>
        <v/>
      </c>
    </row>
    <row r="46" customFormat="false" ht="15" hidden="false" customHeight="false" outlineLevel="0" collapsed="false">
      <c r="A46" s="30"/>
      <c r="B46" s="30"/>
      <c r="D46" s="0" t="str">
        <f aca="false">IF($A46="","",IF(COUNTIF($A$6:$A46,$A46)=1,COUNTIF($A$6:$A$305,$A46)*10000+(9999-ROW()),""))</f>
        <v/>
      </c>
    </row>
    <row r="47" customFormat="false" ht="15" hidden="false" customHeight="false" outlineLevel="0" collapsed="false">
      <c r="A47" s="30"/>
      <c r="B47" s="30"/>
      <c r="D47" s="0" t="str">
        <f aca="false">IF($A47="","",IF(COUNTIF($A$6:$A47,$A47)=1,COUNTIF($A$6:$A$305,$A47)*10000+(9999-ROW()),""))</f>
        <v/>
      </c>
    </row>
    <row r="48" customFormat="false" ht="15" hidden="false" customHeight="false" outlineLevel="0" collapsed="false">
      <c r="A48" s="30"/>
      <c r="B48" s="30"/>
      <c r="D48" s="0" t="str">
        <f aca="false">IF($A48="","",IF(COUNTIF($A$6:$A48,$A48)=1,COUNTIF($A$6:$A$305,$A48)*10000+(9999-ROW()),""))</f>
        <v/>
      </c>
    </row>
    <row r="49" customFormat="false" ht="15" hidden="false" customHeight="false" outlineLevel="0" collapsed="false">
      <c r="A49" s="30"/>
      <c r="B49" s="30"/>
      <c r="D49" s="0" t="str">
        <f aca="false">IF($A49="","",IF(COUNTIF($A$6:$A49,$A49)=1,COUNTIF($A$6:$A$305,$A49)*10000+(9999-ROW()),""))</f>
        <v/>
      </c>
    </row>
    <row r="50" customFormat="false" ht="15" hidden="false" customHeight="false" outlineLevel="0" collapsed="false">
      <c r="A50" s="30"/>
      <c r="B50" s="30"/>
      <c r="D50" s="0" t="str">
        <f aca="false">IF($A50="","",IF(COUNTIF($A$6:$A50,$A50)=1,COUNTIF($A$6:$A$305,$A50)*10000+(9999-ROW()),""))</f>
        <v/>
      </c>
    </row>
    <row r="51" customFormat="false" ht="15" hidden="false" customHeight="false" outlineLevel="0" collapsed="false">
      <c r="A51" s="30"/>
      <c r="B51" s="30"/>
      <c r="D51" s="0" t="str">
        <f aca="false">IF($A51="","",IF(COUNTIF($A$6:$A51,$A51)=1,COUNTIF($A$6:$A$305,$A51)*10000+(9999-ROW()),""))</f>
        <v/>
      </c>
    </row>
    <row r="52" customFormat="false" ht="15" hidden="false" customHeight="false" outlineLevel="0" collapsed="false">
      <c r="A52" s="30"/>
      <c r="B52" s="30"/>
      <c r="D52" s="0" t="str">
        <f aca="false">IF($A52="","",IF(COUNTIF($A$6:$A52,$A52)=1,COUNTIF($A$6:$A$305,$A52)*10000+(9999-ROW()),""))</f>
        <v/>
      </c>
    </row>
    <row r="53" customFormat="false" ht="15" hidden="false" customHeight="false" outlineLevel="0" collapsed="false">
      <c r="A53" s="30"/>
      <c r="B53" s="30"/>
      <c r="D53" s="0" t="str">
        <f aca="false">IF($A53="","",IF(COUNTIF($A$6:$A53,$A53)=1,COUNTIF($A$6:$A$305,$A53)*10000+(9999-ROW()),""))</f>
        <v/>
      </c>
    </row>
    <row r="54" customFormat="false" ht="15" hidden="false" customHeight="false" outlineLevel="0" collapsed="false">
      <c r="A54" s="30"/>
      <c r="B54" s="30"/>
      <c r="D54" s="0" t="str">
        <f aca="false">IF($A54="","",IF(COUNTIF($A$6:$A54,$A54)=1,COUNTIF($A$6:$A$305,$A54)*10000+(9999-ROW()),""))</f>
        <v/>
      </c>
    </row>
    <row r="55" customFormat="false" ht="15" hidden="false" customHeight="false" outlineLevel="0" collapsed="false">
      <c r="A55" s="30"/>
      <c r="B55" s="30"/>
      <c r="D55" s="0" t="str">
        <f aca="false">IF($A55="","",IF(COUNTIF($A$6:$A55,$A55)=1,COUNTIF($A$6:$A$305,$A55)*10000+(9999-ROW()),""))</f>
        <v/>
      </c>
    </row>
    <row r="56" customFormat="false" ht="15" hidden="false" customHeight="false" outlineLevel="0" collapsed="false">
      <c r="A56" s="30"/>
      <c r="B56" s="30"/>
      <c r="D56" s="0" t="str">
        <f aca="false">IF($A56="","",IF(COUNTIF($A$6:$A56,$A56)=1,COUNTIF($A$6:$A$305,$A56)*10000+(9999-ROW()),""))</f>
        <v/>
      </c>
    </row>
    <row r="57" customFormat="false" ht="15" hidden="false" customHeight="false" outlineLevel="0" collapsed="false">
      <c r="A57" s="30"/>
      <c r="B57" s="30"/>
      <c r="D57" s="0" t="str">
        <f aca="false">IF($A57="","",IF(COUNTIF($A$6:$A57,$A57)=1,COUNTIF($A$6:$A$305,$A57)*10000+(9999-ROW()),""))</f>
        <v/>
      </c>
    </row>
    <row r="58" customFormat="false" ht="15" hidden="false" customHeight="false" outlineLevel="0" collapsed="false">
      <c r="A58" s="30"/>
      <c r="B58" s="30"/>
      <c r="D58" s="0" t="str">
        <f aca="false">IF($A58="","",IF(COUNTIF($A$6:$A58,$A58)=1,COUNTIF($A$6:$A$305,$A58)*10000+(9999-ROW()),""))</f>
        <v/>
      </c>
    </row>
    <row r="59" customFormat="false" ht="15" hidden="false" customHeight="false" outlineLevel="0" collapsed="false">
      <c r="A59" s="30"/>
      <c r="B59" s="30"/>
      <c r="D59" s="0" t="str">
        <f aca="false">IF($A59="","",IF(COUNTIF($A$6:$A59,$A59)=1,COUNTIF($A$6:$A$305,$A59)*10000+(9999-ROW()),""))</f>
        <v/>
      </c>
    </row>
    <row r="60" customFormat="false" ht="15" hidden="false" customHeight="false" outlineLevel="0" collapsed="false">
      <c r="A60" s="30"/>
      <c r="B60" s="30"/>
      <c r="D60" s="0" t="str">
        <f aca="false">IF($A60="","",IF(COUNTIF($A$6:$A60,$A60)=1,COUNTIF($A$6:$A$305,$A60)*10000+(9999-ROW()),""))</f>
        <v/>
      </c>
    </row>
    <row r="61" customFormat="false" ht="15" hidden="false" customHeight="false" outlineLevel="0" collapsed="false">
      <c r="A61" s="30"/>
      <c r="B61" s="30"/>
      <c r="D61" s="0" t="str">
        <f aca="false">IF($A61="","",IF(COUNTIF($A$6:$A61,$A61)=1,COUNTIF($A$6:$A$305,$A61)*10000+(9999-ROW()),""))</f>
        <v/>
      </c>
    </row>
    <row r="62" customFormat="false" ht="15" hidden="false" customHeight="false" outlineLevel="0" collapsed="false">
      <c r="A62" s="30"/>
      <c r="B62" s="30"/>
      <c r="D62" s="0" t="str">
        <f aca="false">IF($A62="","",IF(COUNTIF($A$6:$A62,$A62)=1,COUNTIF($A$6:$A$305,$A62)*10000+(9999-ROW()),""))</f>
        <v/>
      </c>
    </row>
    <row r="63" customFormat="false" ht="15" hidden="false" customHeight="false" outlineLevel="0" collapsed="false">
      <c r="A63" s="30"/>
      <c r="B63" s="30"/>
      <c r="D63" s="0" t="str">
        <f aca="false">IF($A63="","",IF(COUNTIF($A$6:$A63,$A63)=1,COUNTIF($A$6:$A$305,$A63)*10000+(9999-ROW()),""))</f>
        <v/>
      </c>
    </row>
    <row r="64" customFormat="false" ht="15" hidden="false" customHeight="false" outlineLevel="0" collapsed="false">
      <c r="A64" s="30"/>
      <c r="B64" s="30"/>
      <c r="D64" s="0" t="str">
        <f aca="false">IF($A64="","",IF(COUNTIF($A$6:$A64,$A64)=1,COUNTIF($A$6:$A$305,$A64)*10000+(9999-ROW()),""))</f>
        <v/>
      </c>
    </row>
    <row r="65" customFormat="false" ht="15" hidden="false" customHeight="false" outlineLevel="0" collapsed="false">
      <c r="A65" s="30"/>
      <c r="B65" s="30"/>
      <c r="D65" s="0" t="str">
        <f aca="false">IF($A65="","",IF(COUNTIF($A$6:$A65,$A65)=1,COUNTIF($A$6:$A$305,$A65)*10000+(9999-ROW()),""))</f>
        <v/>
      </c>
    </row>
    <row r="66" customFormat="false" ht="15" hidden="false" customHeight="false" outlineLevel="0" collapsed="false">
      <c r="A66" s="30"/>
      <c r="B66" s="30"/>
      <c r="D66" s="0" t="str">
        <f aca="false">IF($A66="","",IF(COUNTIF($A$6:$A66,$A66)=1,COUNTIF($A$6:$A$305,$A66)*10000+(9999-ROW()),""))</f>
        <v/>
      </c>
    </row>
    <row r="67" customFormat="false" ht="15" hidden="false" customHeight="false" outlineLevel="0" collapsed="false">
      <c r="A67" s="30"/>
      <c r="B67" s="30"/>
      <c r="D67" s="0" t="str">
        <f aca="false">IF($A67="","",IF(COUNTIF($A$6:$A67,$A67)=1,COUNTIF($A$6:$A$305,$A67)*10000+(9999-ROW()),""))</f>
        <v/>
      </c>
    </row>
    <row r="68" customFormat="false" ht="15" hidden="false" customHeight="false" outlineLevel="0" collapsed="false">
      <c r="A68" s="30"/>
      <c r="B68" s="30"/>
      <c r="D68" s="0" t="str">
        <f aca="false">IF($A68="","",IF(COUNTIF($A$6:$A68,$A68)=1,COUNTIF($A$6:$A$305,$A68)*10000+(9999-ROW()),""))</f>
        <v/>
      </c>
    </row>
    <row r="69" customFormat="false" ht="15" hidden="false" customHeight="false" outlineLevel="0" collapsed="false">
      <c r="A69" s="30"/>
      <c r="B69" s="30"/>
      <c r="D69" s="0" t="str">
        <f aca="false">IF($A69="","",IF(COUNTIF($A$6:$A69,$A69)=1,COUNTIF($A$6:$A$305,$A69)*10000+(9999-ROW()),""))</f>
        <v/>
      </c>
    </row>
    <row r="70" customFormat="false" ht="15" hidden="false" customHeight="false" outlineLevel="0" collapsed="false">
      <c r="A70" s="30"/>
      <c r="B70" s="30"/>
      <c r="D70" s="0" t="str">
        <f aca="false">IF($A70="","",IF(COUNTIF($A$6:$A70,$A70)=1,COUNTIF($A$6:$A$305,$A70)*10000+(9999-ROW()),""))</f>
        <v/>
      </c>
    </row>
    <row r="71" customFormat="false" ht="15" hidden="false" customHeight="false" outlineLevel="0" collapsed="false">
      <c r="A71" s="30"/>
      <c r="B71" s="30"/>
      <c r="D71" s="0" t="str">
        <f aca="false">IF($A71="","",IF(COUNTIF($A$6:$A71,$A71)=1,COUNTIF($A$6:$A$305,$A71)*10000+(9999-ROW()),""))</f>
        <v/>
      </c>
    </row>
    <row r="72" customFormat="false" ht="15" hidden="false" customHeight="false" outlineLevel="0" collapsed="false">
      <c r="A72" s="30"/>
      <c r="B72" s="30"/>
      <c r="D72" s="0" t="str">
        <f aca="false">IF($A72="","",IF(COUNTIF($A$6:$A72,$A72)=1,COUNTIF($A$6:$A$305,$A72)*10000+(9999-ROW()),""))</f>
        <v/>
      </c>
    </row>
    <row r="73" customFormat="false" ht="15" hidden="false" customHeight="false" outlineLevel="0" collapsed="false">
      <c r="A73" s="30"/>
      <c r="B73" s="30"/>
      <c r="D73" s="0" t="str">
        <f aca="false">IF($A73="","",IF(COUNTIF($A$6:$A73,$A73)=1,COUNTIF($A$6:$A$305,$A73)*10000+(9999-ROW()),""))</f>
        <v/>
      </c>
    </row>
    <row r="74" customFormat="false" ht="15" hidden="false" customHeight="false" outlineLevel="0" collapsed="false">
      <c r="A74" s="30"/>
      <c r="B74" s="30"/>
      <c r="D74" s="0" t="str">
        <f aca="false">IF($A74="","",IF(COUNTIF($A$6:$A74,$A74)=1,COUNTIF($A$6:$A$305,$A74)*10000+(9999-ROW()),""))</f>
        <v/>
      </c>
    </row>
    <row r="75" customFormat="false" ht="15" hidden="false" customHeight="false" outlineLevel="0" collapsed="false">
      <c r="A75" s="30"/>
      <c r="B75" s="30"/>
      <c r="D75" s="0" t="str">
        <f aca="false">IF($A75="","",IF(COUNTIF($A$6:$A75,$A75)=1,COUNTIF($A$6:$A$305,$A75)*10000+(9999-ROW()),""))</f>
        <v/>
      </c>
    </row>
    <row r="76" customFormat="false" ht="15" hidden="false" customHeight="false" outlineLevel="0" collapsed="false">
      <c r="A76" s="30"/>
      <c r="B76" s="30"/>
      <c r="D76" s="0" t="str">
        <f aca="false">IF($A76="","",IF(COUNTIF($A$6:$A76,$A76)=1,COUNTIF($A$6:$A$305,$A76)*10000+(9999-ROW()),""))</f>
        <v/>
      </c>
    </row>
    <row r="77" customFormat="false" ht="15" hidden="false" customHeight="false" outlineLevel="0" collapsed="false">
      <c r="A77" s="30"/>
      <c r="B77" s="30"/>
      <c r="D77" s="0" t="str">
        <f aca="false">IF($A77="","",IF(COUNTIF($A$6:$A77,$A77)=1,COUNTIF($A$6:$A$305,$A77)*10000+(9999-ROW()),""))</f>
        <v/>
      </c>
    </row>
    <row r="78" customFormat="false" ht="15" hidden="false" customHeight="false" outlineLevel="0" collapsed="false">
      <c r="A78" s="30"/>
      <c r="B78" s="30"/>
      <c r="D78" s="0" t="str">
        <f aca="false">IF($A78="","",IF(COUNTIF($A$6:$A78,$A78)=1,COUNTIF($A$6:$A$305,$A78)*10000+(9999-ROW()),""))</f>
        <v/>
      </c>
    </row>
    <row r="79" customFormat="false" ht="15" hidden="false" customHeight="false" outlineLevel="0" collapsed="false">
      <c r="A79" s="30"/>
      <c r="B79" s="30"/>
      <c r="D79" s="0" t="str">
        <f aca="false">IF($A79="","",IF(COUNTIF($A$6:$A79,$A79)=1,COUNTIF($A$6:$A$305,$A79)*10000+(9999-ROW()),""))</f>
        <v/>
      </c>
    </row>
    <row r="80" customFormat="false" ht="15" hidden="false" customHeight="false" outlineLevel="0" collapsed="false">
      <c r="A80" s="30"/>
      <c r="B80" s="30"/>
      <c r="D80" s="0" t="str">
        <f aca="false">IF($A80="","",IF(COUNTIF($A$6:$A80,$A80)=1,COUNTIF($A$6:$A$305,$A80)*10000+(9999-ROW()),""))</f>
        <v/>
      </c>
    </row>
    <row r="81" customFormat="false" ht="15" hidden="false" customHeight="false" outlineLevel="0" collapsed="false">
      <c r="A81" s="30"/>
      <c r="B81" s="30"/>
      <c r="D81" s="0" t="str">
        <f aca="false">IF($A81="","",IF(COUNTIF($A$6:$A81,$A81)=1,COUNTIF($A$6:$A$305,$A81)*10000+(9999-ROW()),""))</f>
        <v/>
      </c>
    </row>
    <row r="82" customFormat="false" ht="15" hidden="false" customHeight="false" outlineLevel="0" collapsed="false">
      <c r="A82" s="30"/>
      <c r="B82" s="30"/>
      <c r="D82" s="0" t="str">
        <f aca="false">IF($A82="","",IF(COUNTIF($A$6:$A82,$A82)=1,COUNTIF($A$6:$A$305,$A82)*10000+(9999-ROW()),""))</f>
        <v/>
      </c>
    </row>
    <row r="83" customFormat="false" ht="15" hidden="false" customHeight="false" outlineLevel="0" collapsed="false">
      <c r="A83" s="30"/>
      <c r="B83" s="30"/>
      <c r="D83" s="0" t="str">
        <f aca="false">IF($A83="","",IF(COUNTIF($A$6:$A83,$A83)=1,COUNTIF($A$6:$A$305,$A83)*10000+(9999-ROW()),""))</f>
        <v/>
      </c>
    </row>
    <row r="84" customFormat="false" ht="15" hidden="false" customHeight="false" outlineLevel="0" collapsed="false">
      <c r="A84" s="30"/>
      <c r="B84" s="30"/>
      <c r="D84" s="0" t="str">
        <f aca="false">IF($A84="","",IF(COUNTIF($A$6:$A84,$A84)=1,COUNTIF($A$6:$A$305,$A84)*10000+(9999-ROW()),""))</f>
        <v/>
      </c>
    </row>
    <row r="85" customFormat="false" ht="15" hidden="false" customHeight="false" outlineLevel="0" collapsed="false">
      <c r="A85" s="30"/>
      <c r="B85" s="30"/>
      <c r="D85" s="0" t="str">
        <f aca="false">IF($A85="","",IF(COUNTIF($A$6:$A85,$A85)=1,COUNTIF($A$6:$A$305,$A85)*10000+(9999-ROW()),""))</f>
        <v/>
      </c>
    </row>
    <row r="86" customFormat="false" ht="15" hidden="false" customHeight="false" outlineLevel="0" collapsed="false">
      <c r="A86" s="30"/>
      <c r="B86" s="30"/>
      <c r="D86" s="0" t="str">
        <f aca="false">IF($A86="","",IF(COUNTIF($A$6:$A86,$A86)=1,COUNTIF($A$6:$A$305,$A86)*10000+(9999-ROW()),""))</f>
        <v/>
      </c>
    </row>
    <row r="87" customFormat="false" ht="15" hidden="false" customHeight="false" outlineLevel="0" collapsed="false">
      <c r="A87" s="30"/>
      <c r="B87" s="30"/>
      <c r="D87" s="0" t="str">
        <f aca="false">IF($A87="","",IF(COUNTIF($A$6:$A87,$A87)=1,COUNTIF($A$6:$A$305,$A87)*10000+(9999-ROW()),""))</f>
        <v/>
      </c>
    </row>
    <row r="88" customFormat="false" ht="15" hidden="false" customHeight="false" outlineLevel="0" collapsed="false">
      <c r="A88" s="30"/>
      <c r="B88" s="30"/>
      <c r="D88" s="0" t="str">
        <f aca="false">IF($A88="","",IF(COUNTIF($A$6:$A88,$A88)=1,COUNTIF($A$6:$A$305,$A88)*10000+(9999-ROW()),""))</f>
        <v/>
      </c>
    </row>
    <row r="89" customFormat="false" ht="15" hidden="false" customHeight="false" outlineLevel="0" collapsed="false">
      <c r="A89" s="30"/>
      <c r="B89" s="30"/>
      <c r="D89" s="0" t="str">
        <f aca="false">IF($A89="","",IF(COUNTIF($A$6:$A89,$A89)=1,COUNTIF($A$6:$A$305,$A89)*10000+(9999-ROW()),""))</f>
        <v/>
      </c>
    </row>
    <row r="90" customFormat="false" ht="15" hidden="false" customHeight="false" outlineLevel="0" collapsed="false">
      <c r="A90" s="30"/>
      <c r="B90" s="30"/>
      <c r="D90" s="0" t="str">
        <f aca="false">IF($A90="","",IF(COUNTIF($A$6:$A90,$A90)=1,COUNTIF($A$6:$A$305,$A90)*10000+(9999-ROW()),""))</f>
        <v/>
      </c>
    </row>
    <row r="91" customFormat="false" ht="15" hidden="false" customHeight="false" outlineLevel="0" collapsed="false">
      <c r="A91" s="30"/>
      <c r="B91" s="30"/>
      <c r="D91" s="0" t="str">
        <f aca="false">IF($A91="","",IF(COUNTIF($A$6:$A91,$A91)=1,COUNTIF($A$6:$A$305,$A91)*10000+(9999-ROW()),""))</f>
        <v/>
      </c>
    </row>
    <row r="92" customFormat="false" ht="15" hidden="false" customHeight="false" outlineLevel="0" collapsed="false">
      <c r="A92" s="30"/>
      <c r="B92" s="30"/>
      <c r="D92" s="0" t="str">
        <f aca="false">IF($A92="","",IF(COUNTIF($A$6:$A92,$A92)=1,COUNTIF($A$6:$A$305,$A92)*10000+(9999-ROW()),""))</f>
        <v/>
      </c>
    </row>
    <row r="93" customFormat="false" ht="15" hidden="false" customHeight="false" outlineLevel="0" collapsed="false">
      <c r="A93" s="30"/>
      <c r="B93" s="30"/>
      <c r="D93" s="0" t="str">
        <f aca="false">IF($A93="","",IF(COUNTIF($A$6:$A93,$A93)=1,COUNTIF($A$6:$A$305,$A93)*10000+(9999-ROW()),""))</f>
        <v/>
      </c>
    </row>
    <row r="94" customFormat="false" ht="15" hidden="false" customHeight="false" outlineLevel="0" collapsed="false">
      <c r="A94" s="30"/>
      <c r="B94" s="30"/>
      <c r="D94" s="0" t="str">
        <f aca="false">IF($A94="","",IF(COUNTIF($A$6:$A94,$A94)=1,COUNTIF($A$6:$A$305,$A94)*10000+(9999-ROW()),""))</f>
        <v/>
      </c>
    </row>
    <row r="95" customFormat="false" ht="15" hidden="false" customHeight="false" outlineLevel="0" collapsed="false">
      <c r="A95" s="30"/>
      <c r="B95" s="30"/>
      <c r="D95" s="0" t="str">
        <f aca="false">IF($A95="","",IF(COUNTIF($A$6:$A95,$A95)=1,COUNTIF($A$6:$A$305,$A95)*10000+(9999-ROW()),""))</f>
        <v/>
      </c>
    </row>
    <row r="96" customFormat="false" ht="15" hidden="false" customHeight="false" outlineLevel="0" collapsed="false">
      <c r="A96" s="30"/>
      <c r="B96" s="30"/>
      <c r="D96" s="0" t="str">
        <f aca="false">IF($A96="","",IF(COUNTIF($A$6:$A96,$A96)=1,COUNTIF($A$6:$A$305,$A96)*10000+(9999-ROW()),""))</f>
        <v/>
      </c>
    </row>
    <row r="97" customFormat="false" ht="15" hidden="false" customHeight="false" outlineLevel="0" collapsed="false">
      <c r="A97" s="30"/>
      <c r="B97" s="30"/>
      <c r="D97" s="0" t="str">
        <f aca="false">IF($A97="","",IF(COUNTIF($A$6:$A97,$A97)=1,COUNTIF($A$6:$A$305,$A97)*10000+(9999-ROW()),""))</f>
        <v/>
      </c>
    </row>
    <row r="98" customFormat="false" ht="15" hidden="false" customHeight="false" outlineLevel="0" collapsed="false">
      <c r="A98" s="30"/>
      <c r="B98" s="30"/>
      <c r="D98" s="0" t="str">
        <f aca="false">IF($A98="","",IF(COUNTIF($A$6:$A98,$A98)=1,COUNTIF($A$6:$A$305,$A98)*10000+(9999-ROW()),""))</f>
        <v/>
      </c>
    </row>
    <row r="99" customFormat="false" ht="15" hidden="false" customHeight="false" outlineLevel="0" collapsed="false">
      <c r="A99" s="30"/>
      <c r="B99" s="30"/>
      <c r="D99" s="0" t="str">
        <f aca="false">IF($A99="","",IF(COUNTIF($A$6:$A99,$A99)=1,COUNTIF($A$6:$A$305,$A99)*10000+(9999-ROW()),""))</f>
        <v/>
      </c>
    </row>
    <row r="100" customFormat="false" ht="15" hidden="false" customHeight="false" outlineLevel="0" collapsed="false">
      <c r="A100" s="30"/>
      <c r="B100" s="30"/>
      <c r="D100" s="0" t="str">
        <f aca="false">IF($A100="","",IF(COUNTIF($A$6:$A100,$A100)=1,COUNTIF($A$6:$A$305,$A100)*10000+(9999-ROW()),""))</f>
        <v/>
      </c>
    </row>
    <row r="101" customFormat="false" ht="15" hidden="false" customHeight="false" outlineLevel="0" collapsed="false">
      <c r="A101" s="30"/>
      <c r="B101" s="30"/>
      <c r="D101" s="0" t="str">
        <f aca="false">IF($A101="","",IF(COUNTIF($A$6:$A101,$A101)=1,COUNTIF($A$6:$A$305,$A101)*10000+(9999-ROW()),""))</f>
        <v/>
      </c>
    </row>
    <row r="102" customFormat="false" ht="15" hidden="false" customHeight="false" outlineLevel="0" collapsed="false">
      <c r="A102" s="30"/>
      <c r="B102" s="30"/>
      <c r="D102" s="0" t="str">
        <f aca="false">IF($A102="","",IF(COUNTIF($A$6:$A102,$A102)=1,COUNTIF($A$6:$A$305,$A102)*10000+(9999-ROW()),""))</f>
        <v/>
      </c>
    </row>
    <row r="103" customFormat="false" ht="15" hidden="false" customHeight="false" outlineLevel="0" collapsed="false">
      <c r="A103" s="30"/>
      <c r="B103" s="30"/>
      <c r="D103" s="0" t="str">
        <f aca="false">IF($A103="","",IF(COUNTIF($A$6:$A103,$A103)=1,COUNTIF($A$6:$A$305,$A103)*10000+(9999-ROW()),""))</f>
        <v/>
      </c>
    </row>
    <row r="104" customFormat="false" ht="15" hidden="false" customHeight="false" outlineLevel="0" collapsed="false">
      <c r="A104" s="30"/>
      <c r="B104" s="30"/>
      <c r="D104" s="0" t="str">
        <f aca="false">IF($A104="","",IF(COUNTIF($A$6:$A104,$A104)=1,COUNTIF($A$6:$A$305,$A104)*10000+(9999-ROW()),""))</f>
        <v/>
      </c>
    </row>
    <row r="105" customFormat="false" ht="15" hidden="false" customHeight="false" outlineLevel="0" collapsed="false">
      <c r="A105" s="30"/>
      <c r="B105" s="30"/>
      <c r="D105" s="0" t="str">
        <f aca="false">IF($A105="","",IF(COUNTIF($A$6:$A105,$A105)=1,COUNTIF($A$6:$A$305,$A105)*10000+(9999-ROW()),""))</f>
        <v/>
      </c>
    </row>
    <row r="106" customFormat="false" ht="15" hidden="false" customHeight="false" outlineLevel="0" collapsed="false">
      <c r="A106" s="30"/>
      <c r="B106" s="30"/>
      <c r="D106" s="0" t="str">
        <f aca="false">IF($A106="","",IF(COUNTIF($A$6:$A106,$A106)=1,COUNTIF($A$6:$A$305,$A106)*10000+(9999-ROW()),""))</f>
        <v/>
      </c>
    </row>
    <row r="107" customFormat="false" ht="15" hidden="false" customHeight="false" outlineLevel="0" collapsed="false">
      <c r="A107" s="30"/>
      <c r="B107" s="30"/>
      <c r="D107" s="0" t="str">
        <f aca="false">IF($A107="","",IF(COUNTIF($A$6:$A107,$A107)=1,COUNTIF($A$6:$A$305,$A107)*10000+(9999-ROW()),""))</f>
        <v/>
      </c>
    </row>
    <row r="108" customFormat="false" ht="15" hidden="false" customHeight="false" outlineLevel="0" collapsed="false">
      <c r="A108" s="30"/>
      <c r="B108" s="30"/>
      <c r="D108" s="0" t="str">
        <f aca="false">IF($A108="","",IF(COUNTIF($A$6:$A108,$A108)=1,COUNTIF($A$6:$A$305,$A108)*10000+(9999-ROW()),""))</f>
        <v/>
      </c>
    </row>
    <row r="109" customFormat="false" ht="15" hidden="false" customHeight="false" outlineLevel="0" collapsed="false">
      <c r="A109" s="30"/>
      <c r="B109" s="30"/>
      <c r="D109" s="0" t="str">
        <f aca="false">IF($A109="","",IF(COUNTIF($A$6:$A109,$A109)=1,COUNTIF($A$6:$A$305,$A109)*10000+(9999-ROW()),""))</f>
        <v/>
      </c>
    </row>
    <row r="110" customFormat="false" ht="15" hidden="false" customHeight="false" outlineLevel="0" collapsed="false">
      <c r="A110" s="30"/>
      <c r="B110" s="30"/>
      <c r="D110" s="0" t="str">
        <f aca="false">IF($A110="","",IF(COUNTIF($A$6:$A110,$A110)=1,COUNTIF($A$6:$A$305,$A110)*10000+(9999-ROW()),""))</f>
        <v/>
      </c>
    </row>
    <row r="111" customFormat="false" ht="15" hidden="false" customHeight="false" outlineLevel="0" collapsed="false">
      <c r="A111" s="30"/>
      <c r="B111" s="30"/>
      <c r="D111" s="0" t="str">
        <f aca="false">IF($A111="","",IF(COUNTIF($A$6:$A111,$A111)=1,COUNTIF($A$6:$A$305,$A111)*10000+(9999-ROW()),""))</f>
        <v/>
      </c>
    </row>
    <row r="112" customFormat="false" ht="15" hidden="false" customHeight="false" outlineLevel="0" collapsed="false">
      <c r="A112" s="30"/>
      <c r="B112" s="30"/>
      <c r="D112" s="0" t="str">
        <f aca="false">IF($A112="","",IF(COUNTIF($A$6:$A112,$A112)=1,COUNTIF($A$6:$A$305,$A112)*10000+(9999-ROW()),""))</f>
        <v/>
      </c>
    </row>
    <row r="113" customFormat="false" ht="15" hidden="false" customHeight="false" outlineLevel="0" collapsed="false">
      <c r="A113" s="30"/>
      <c r="B113" s="30"/>
      <c r="D113" s="0" t="str">
        <f aca="false">IF($A113="","",IF(COUNTIF($A$6:$A113,$A113)=1,COUNTIF($A$6:$A$305,$A113)*10000+(9999-ROW()),""))</f>
        <v/>
      </c>
    </row>
    <row r="114" customFormat="false" ht="15" hidden="false" customHeight="false" outlineLevel="0" collapsed="false">
      <c r="A114" s="30"/>
      <c r="B114" s="30"/>
      <c r="D114" s="0" t="str">
        <f aca="false">IF($A114="","",IF(COUNTIF($A$6:$A114,$A114)=1,COUNTIF($A$6:$A$305,$A114)*10000+(9999-ROW()),""))</f>
        <v/>
      </c>
    </row>
    <row r="115" customFormat="false" ht="15" hidden="false" customHeight="false" outlineLevel="0" collapsed="false">
      <c r="A115" s="30"/>
      <c r="B115" s="30"/>
      <c r="D115" s="0" t="str">
        <f aca="false">IF($A115="","",IF(COUNTIF($A$6:$A115,$A115)=1,COUNTIF($A$6:$A$305,$A115)*10000+(9999-ROW()),""))</f>
        <v/>
      </c>
    </row>
    <row r="116" customFormat="false" ht="15" hidden="false" customHeight="false" outlineLevel="0" collapsed="false">
      <c r="A116" s="30"/>
      <c r="B116" s="30"/>
      <c r="D116" s="0" t="str">
        <f aca="false">IF($A116="","",IF(COUNTIF($A$6:$A116,$A116)=1,COUNTIF($A$6:$A$305,$A116)*10000+(9999-ROW()),""))</f>
        <v/>
      </c>
    </row>
    <row r="117" customFormat="false" ht="15" hidden="false" customHeight="false" outlineLevel="0" collapsed="false">
      <c r="A117" s="30"/>
      <c r="B117" s="30"/>
      <c r="D117" s="0" t="str">
        <f aca="false">IF($A117="","",IF(COUNTIF($A$6:$A117,$A117)=1,COUNTIF($A$6:$A$305,$A117)*10000+(9999-ROW()),""))</f>
        <v/>
      </c>
    </row>
    <row r="118" customFormat="false" ht="15" hidden="false" customHeight="false" outlineLevel="0" collapsed="false">
      <c r="A118" s="30"/>
      <c r="B118" s="30"/>
      <c r="D118" s="0" t="str">
        <f aca="false">IF($A118="","",IF(COUNTIF($A$6:$A118,$A118)=1,COUNTIF($A$6:$A$305,$A118)*10000+(9999-ROW()),""))</f>
        <v/>
      </c>
    </row>
    <row r="119" customFormat="false" ht="15" hidden="false" customHeight="false" outlineLevel="0" collapsed="false">
      <c r="A119" s="30"/>
      <c r="B119" s="30"/>
      <c r="D119" s="0" t="str">
        <f aca="false">IF($A119="","",IF(COUNTIF($A$6:$A119,$A119)=1,COUNTIF($A$6:$A$305,$A119)*10000+(9999-ROW()),""))</f>
        <v/>
      </c>
    </row>
    <row r="120" customFormat="false" ht="15" hidden="false" customHeight="false" outlineLevel="0" collapsed="false">
      <c r="A120" s="30"/>
      <c r="B120" s="30"/>
      <c r="D120" s="0" t="str">
        <f aca="false">IF($A120="","",IF(COUNTIF($A$6:$A120,$A120)=1,COUNTIF($A$6:$A$305,$A120)*10000+(9999-ROW()),""))</f>
        <v/>
      </c>
    </row>
    <row r="121" customFormat="false" ht="15" hidden="false" customHeight="false" outlineLevel="0" collapsed="false">
      <c r="A121" s="30"/>
      <c r="B121" s="30"/>
      <c r="D121" s="0" t="str">
        <f aca="false">IF($A121="","",IF(COUNTIF($A$6:$A121,$A121)=1,COUNTIF($A$6:$A$305,$A121)*10000+(9999-ROW()),""))</f>
        <v/>
      </c>
    </row>
    <row r="122" customFormat="false" ht="15" hidden="false" customHeight="false" outlineLevel="0" collapsed="false">
      <c r="A122" s="30"/>
      <c r="B122" s="30"/>
      <c r="D122" s="0" t="str">
        <f aca="false">IF($A122="","",IF(COUNTIF($A$6:$A122,$A122)=1,COUNTIF($A$6:$A$305,$A122)*10000+(9999-ROW()),""))</f>
        <v/>
      </c>
    </row>
    <row r="123" customFormat="false" ht="15" hidden="false" customHeight="false" outlineLevel="0" collapsed="false">
      <c r="A123" s="30"/>
      <c r="B123" s="30"/>
      <c r="D123" s="0" t="str">
        <f aca="false">IF($A123="","",IF(COUNTIF($A$6:$A123,$A123)=1,COUNTIF($A$6:$A$305,$A123)*10000+(9999-ROW()),""))</f>
        <v/>
      </c>
    </row>
    <row r="124" customFormat="false" ht="15" hidden="false" customHeight="false" outlineLevel="0" collapsed="false">
      <c r="A124" s="30"/>
      <c r="B124" s="30"/>
      <c r="D124" s="0" t="str">
        <f aca="false">IF($A124="","",IF(COUNTIF($A$6:$A124,$A124)=1,COUNTIF($A$6:$A$305,$A124)*10000+(9999-ROW()),""))</f>
        <v/>
      </c>
    </row>
    <row r="125" customFormat="false" ht="15" hidden="false" customHeight="false" outlineLevel="0" collapsed="false">
      <c r="A125" s="30"/>
      <c r="B125" s="30"/>
      <c r="D125" s="0" t="str">
        <f aca="false">IF($A125="","",IF(COUNTIF($A$6:$A125,$A125)=1,COUNTIF($A$6:$A$305,$A125)*10000+(9999-ROW()),""))</f>
        <v/>
      </c>
    </row>
    <row r="126" customFormat="false" ht="15" hidden="false" customHeight="false" outlineLevel="0" collapsed="false">
      <c r="A126" s="30"/>
      <c r="B126" s="30"/>
      <c r="D126" s="0" t="str">
        <f aca="false">IF($A126="","",IF(COUNTIF($A$6:$A126,$A126)=1,COUNTIF($A$6:$A$305,$A126)*10000+(9999-ROW()),""))</f>
        <v/>
      </c>
    </row>
    <row r="127" customFormat="false" ht="15" hidden="false" customHeight="false" outlineLevel="0" collapsed="false">
      <c r="A127" s="30"/>
      <c r="B127" s="30"/>
      <c r="D127" s="0" t="str">
        <f aca="false">IF($A127="","",IF(COUNTIF($A$6:$A127,$A127)=1,COUNTIF($A$6:$A$305,$A127)*10000+(9999-ROW()),""))</f>
        <v/>
      </c>
    </row>
    <row r="128" customFormat="false" ht="15" hidden="false" customHeight="false" outlineLevel="0" collapsed="false">
      <c r="A128" s="30"/>
      <c r="B128" s="30"/>
      <c r="D128" s="0" t="str">
        <f aca="false">IF($A128="","",IF(COUNTIF($A$6:$A128,$A128)=1,COUNTIF($A$6:$A$305,$A128)*10000+(9999-ROW()),""))</f>
        <v/>
      </c>
    </row>
    <row r="129" customFormat="false" ht="15" hidden="false" customHeight="false" outlineLevel="0" collapsed="false">
      <c r="A129" s="30"/>
      <c r="B129" s="30"/>
      <c r="D129" s="0" t="str">
        <f aca="false">IF($A129="","",IF(COUNTIF($A$6:$A129,$A129)=1,COUNTIF($A$6:$A$305,$A129)*10000+(9999-ROW()),""))</f>
        <v/>
      </c>
    </row>
    <row r="130" customFormat="false" ht="15" hidden="false" customHeight="false" outlineLevel="0" collapsed="false">
      <c r="A130" s="30"/>
      <c r="B130" s="30"/>
      <c r="D130" s="0" t="str">
        <f aca="false">IF($A130="","",IF(COUNTIF($A$6:$A130,$A130)=1,COUNTIF($A$6:$A$305,$A130)*10000+(9999-ROW()),""))</f>
        <v/>
      </c>
    </row>
    <row r="131" customFormat="false" ht="15" hidden="false" customHeight="false" outlineLevel="0" collapsed="false">
      <c r="A131" s="30"/>
      <c r="B131" s="30"/>
      <c r="D131" s="0" t="str">
        <f aca="false">IF($A131="","",IF(COUNTIF($A$6:$A131,$A131)=1,COUNTIF($A$6:$A$305,$A131)*10000+(9999-ROW()),""))</f>
        <v/>
      </c>
    </row>
    <row r="132" customFormat="false" ht="15" hidden="false" customHeight="false" outlineLevel="0" collapsed="false">
      <c r="A132" s="30"/>
      <c r="B132" s="30"/>
      <c r="D132" s="0" t="str">
        <f aca="false">IF($A132="","",IF(COUNTIF($A$6:$A132,$A132)=1,COUNTIF($A$6:$A$305,$A132)*10000+(9999-ROW()),""))</f>
        <v/>
      </c>
    </row>
    <row r="133" customFormat="false" ht="15" hidden="false" customHeight="false" outlineLevel="0" collapsed="false">
      <c r="A133" s="30"/>
      <c r="B133" s="30"/>
      <c r="D133" s="0" t="str">
        <f aca="false">IF($A133="","",IF(COUNTIF($A$6:$A133,$A133)=1,COUNTIF($A$6:$A$305,$A133)*10000+(9999-ROW()),""))</f>
        <v/>
      </c>
    </row>
    <row r="134" customFormat="false" ht="15" hidden="false" customHeight="false" outlineLevel="0" collapsed="false">
      <c r="A134" s="30"/>
      <c r="B134" s="30"/>
      <c r="D134" s="0" t="str">
        <f aca="false">IF($A134="","",IF(COUNTIF($A$6:$A134,$A134)=1,COUNTIF($A$6:$A$305,$A134)*10000+(9999-ROW()),""))</f>
        <v/>
      </c>
    </row>
    <row r="135" customFormat="false" ht="15" hidden="false" customHeight="false" outlineLevel="0" collapsed="false">
      <c r="A135" s="30"/>
      <c r="B135" s="30"/>
      <c r="D135" s="0" t="str">
        <f aca="false">IF($A135="","",IF(COUNTIF($A$6:$A135,$A135)=1,COUNTIF($A$6:$A$305,$A135)*10000+(9999-ROW()),""))</f>
        <v/>
      </c>
    </row>
    <row r="136" customFormat="false" ht="15" hidden="false" customHeight="false" outlineLevel="0" collapsed="false">
      <c r="A136" s="30"/>
      <c r="B136" s="30"/>
      <c r="D136" s="0" t="str">
        <f aca="false">IF($A136="","",IF(COUNTIF($A$6:$A136,$A136)=1,COUNTIF($A$6:$A$305,$A136)*10000+(9999-ROW()),""))</f>
        <v/>
      </c>
    </row>
    <row r="137" customFormat="false" ht="15" hidden="false" customHeight="false" outlineLevel="0" collapsed="false">
      <c r="A137" s="30"/>
      <c r="B137" s="30"/>
      <c r="D137" s="0" t="str">
        <f aca="false">IF($A137="","",IF(COUNTIF($A$6:$A137,$A137)=1,COUNTIF($A$6:$A$305,$A137)*10000+(9999-ROW()),""))</f>
        <v/>
      </c>
    </row>
    <row r="138" customFormat="false" ht="15" hidden="false" customHeight="false" outlineLevel="0" collapsed="false">
      <c r="A138" s="30"/>
      <c r="B138" s="30"/>
      <c r="D138" s="0" t="str">
        <f aca="false">IF($A138="","",IF(COUNTIF($A$6:$A138,$A138)=1,COUNTIF($A$6:$A$305,$A138)*10000+(9999-ROW()),""))</f>
        <v/>
      </c>
    </row>
    <row r="139" customFormat="false" ht="15" hidden="false" customHeight="false" outlineLevel="0" collapsed="false">
      <c r="A139" s="30"/>
      <c r="B139" s="30"/>
      <c r="D139" s="0" t="str">
        <f aca="false">IF($A139="","",IF(COUNTIF($A$6:$A139,$A139)=1,COUNTIF($A$6:$A$305,$A139)*10000+(9999-ROW()),""))</f>
        <v/>
      </c>
    </row>
    <row r="140" customFormat="false" ht="15" hidden="false" customHeight="false" outlineLevel="0" collapsed="false">
      <c r="A140" s="30"/>
      <c r="B140" s="30"/>
      <c r="D140" s="0" t="str">
        <f aca="false">IF($A140="","",IF(COUNTIF($A$6:$A140,$A140)=1,COUNTIF($A$6:$A$305,$A140)*10000+(9999-ROW()),""))</f>
        <v/>
      </c>
    </row>
    <row r="141" customFormat="false" ht="15" hidden="false" customHeight="false" outlineLevel="0" collapsed="false">
      <c r="A141" s="30"/>
      <c r="B141" s="30"/>
      <c r="D141" s="0" t="str">
        <f aca="false">IF($A141="","",IF(COUNTIF($A$6:$A141,$A141)=1,COUNTIF($A$6:$A$305,$A141)*10000+(9999-ROW()),""))</f>
        <v/>
      </c>
    </row>
    <row r="142" customFormat="false" ht="15" hidden="false" customHeight="false" outlineLevel="0" collapsed="false">
      <c r="A142" s="30"/>
      <c r="B142" s="30"/>
      <c r="D142" s="0" t="str">
        <f aca="false">IF($A142="","",IF(COUNTIF($A$6:$A142,$A142)=1,COUNTIF($A$6:$A$305,$A142)*10000+(9999-ROW()),""))</f>
        <v/>
      </c>
    </row>
    <row r="143" customFormat="false" ht="15" hidden="false" customHeight="false" outlineLevel="0" collapsed="false">
      <c r="A143" s="30"/>
      <c r="B143" s="30"/>
      <c r="D143" s="0" t="str">
        <f aca="false">IF($A143="","",IF(COUNTIF($A$6:$A143,$A143)=1,COUNTIF($A$6:$A$305,$A143)*10000+(9999-ROW()),""))</f>
        <v/>
      </c>
    </row>
    <row r="144" customFormat="false" ht="15" hidden="false" customHeight="false" outlineLevel="0" collapsed="false">
      <c r="A144" s="30"/>
      <c r="B144" s="30"/>
      <c r="D144" s="0" t="str">
        <f aca="false">IF($A144="","",IF(COUNTIF($A$6:$A144,$A144)=1,COUNTIF($A$6:$A$305,$A144)*10000+(9999-ROW()),""))</f>
        <v/>
      </c>
    </row>
    <row r="145" customFormat="false" ht="15" hidden="false" customHeight="false" outlineLevel="0" collapsed="false">
      <c r="A145" s="30"/>
      <c r="B145" s="30"/>
      <c r="D145" s="0" t="str">
        <f aca="false">IF($A145="","",IF(COUNTIF($A$6:$A145,$A145)=1,COUNTIF($A$6:$A$305,$A145)*10000+(9999-ROW()),""))</f>
        <v/>
      </c>
    </row>
    <row r="146" customFormat="false" ht="15" hidden="false" customHeight="false" outlineLevel="0" collapsed="false">
      <c r="A146" s="30"/>
      <c r="B146" s="30"/>
      <c r="D146" s="0" t="str">
        <f aca="false">IF($A146="","",IF(COUNTIF($A$6:$A146,$A146)=1,COUNTIF($A$6:$A$305,$A146)*10000+(9999-ROW()),""))</f>
        <v/>
      </c>
    </row>
    <row r="147" customFormat="false" ht="15" hidden="false" customHeight="false" outlineLevel="0" collapsed="false">
      <c r="A147" s="30"/>
      <c r="B147" s="30"/>
      <c r="D147" s="0" t="str">
        <f aca="false">IF($A147="","",IF(COUNTIF($A$6:$A147,$A147)=1,COUNTIF($A$6:$A$305,$A147)*10000+(9999-ROW()),""))</f>
        <v/>
      </c>
    </row>
    <row r="148" customFormat="false" ht="15" hidden="false" customHeight="false" outlineLevel="0" collapsed="false">
      <c r="A148" s="30"/>
      <c r="B148" s="30"/>
      <c r="D148" s="0" t="str">
        <f aca="false">IF($A148="","",IF(COUNTIF($A$6:$A148,$A148)=1,COUNTIF($A$6:$A$305,$A148)*10000+(9999-ROW()),""))</f>
        <v/>
      </c>
    </row>
    <row r="149" customFormat="false" ht="15" hidden="false" customHeight="false" outlineLevel="0" collapsed="false">
      <c r="A149" s="30"/>
      <c r="B149" s="30"/>
      <c r="D149" s="0" t="str">
        <f aca="false">IF($A149="","",IF(COUNTIF($A$6:$A149,$A149)=1,COUNTIF($A$6:$A$305,$A149)*10000+(9999-ROW()),""))</f>
        <v/>
      </c>
    </row>
    <row r="150" customFormat="false" ht="15" hidden="false" customHeight="false" outlineLevel="0" collapsed="false">
      <c r="A150" s="30"/>
      <c r="B150" s="30"/>
      <c r="D150" s="0" t="str">
        <f aca="false">IF($A150="","",IF(COUNTIF($A$6:$A150,$A150)=1,COUNTIF($A$6:$A$305,$A150)*10000+(9999-ROW()),""))</f>
        <v/>
      </c>
    </row>
    <row r="151" customFormat="false" ht="15" hidden="false" customHeight="false" outlineLevel="0" collapsed="false">
      <c r="A151" s="30"/>
      <c r="B151" s="30"/>
      <c r="D151" s="0" t="str">
        <f aca="false">IF($A151="","",IF(COUNTIF($A$6:$A151,$A151)=1,COUNTIF($A$6:$A$305,$A151)*10000+(9999-ROW()),""))</f>
        <v/>
      </c>
    </row>
    <row r="152" customFormat="false" ht="15" hidden="false" customHeight="false" outlineLevel="0" collapsed="false">
      <c r="A152" s="30"/>
      <c r="B152" s="30"/>
      <c r="D152" s="0" t="str">
        <f aca="false">IF($A152="","",IF(COUNTIF($A$6:$A152,$A152)=1,COUNTIF($A$6:$A$305,$A152)*10000+(9999-ROW()),""))</f>
        <v/>
      </c>
    </row>
    <row r="153" customFormat="false" ht="15" hidden="false" customHeight="false" outlineLevel="0" collapsed="false">
      <c r="A153" s="30"/>
      <c r="B153" s="30"/>
      <c r="D153" s="0" t="str">
        <f aca="false">IF($A153="","",IF(COUNTIF($A$6:$A153,$A153)=1,COUNTIF($A$6:$A$305,$A153)*10000+(9999-ROW()),""))</f>
        <v/>
      </c>
    </row>
    <row r="154" customFormat="false" ht="15" hidden="false" customHeight="false" outlineLevel="0" collapsed="false">
      <c r="A154" s="30"/>
      <c r="B154" s="30"/>
      <c r="D154" s="0" t="str">
        <f aca="false">IF($A154="","",IF(COUNTIF($A$6:$A154,$A154)=1,COUNTIF($A$6:$A$305,$A154)*10000+(9999-ROW()),""))</f>
        <v/>
      </c>
    </row>
    <row r="155" customFormat="false" ht="15" hidden="false" customHeight="false" outlineLevel="0" collapsed="false">
      <c r="A155" s="30"/>
      <c r="B155" s="30"/>
      <c r="D155" s="0" t="str">
        <f aca="false">IF($A155="","",IF(COUNTIF($A$6:$A155,$A155)=1,COUNTIF($A$6:$A$305,$A155)*10000+(9999-ROW()),""))</f>
        <v/>
      </c>
    </row>
    <row r="156" customFormat="false" ht="15" hidden="false" customHeight="false" outlineLevel="0" collapsed="false">
      <c r="A156" s="30"/>
      <c r="B156" s="30"/>
      <c r="D156" s="0" t="str">
        <f aca="false">IF($A156="","",IF(COUNTIF($A$6:$A156,$A156)=1,COUNTIF($A$6:$A$305,$A156)*10000+(9999-ROW()),""))</f>
        <v/>
      </c>
    </row>
    <row r="157" customFormat="false" ht="15" hidden="false" customHeight="false" outlineLevel="0" collapsed="false">
      <c r="A157" s="30"/>
      <c r="B157" s="30"/>
      <c r="D157" s="0" t="str">
        <f aca="false">IF($A157="","",IF(COUNTIF($A$6:$A157,$A157)=1,COUNTIF($A$6:$A$305,$A157)*10000+(9999-ROW()),""))</f>
        <v/>
      </c>
    </row>
    <row r="158" customFormat="false" ht="15" hidden="false" customHeight="false" outlineLevel="0" collapsed="false">
      <c r="A158" s="30"/>
      <c r="B158" s="30"/>
      <c r="D158" s="0" t="str">
        <f aca="false">IF($A158="","",IF(COUNTIF($A$6:$A158,$A158)=1,COUNTIF($A$6:$A$305,$A158)*10000+(9999-ROW()),""))</f>
        <v/>
      </c>
    </row>
    <row r="159" customFormat="false" ht="15" hidden="false" customHeight="false" outlineLevel="0" collapsed="false">
      <c r="A159" s="30"/>
      <c r="B159" s="30"/>
      <c r="D159" s="0" t="str">
        <f aca="false">IF($A159="","",IF(COUNTIF($A$6:$A159,$A159)=1,COUNTIF($A$6:$A$305,$A159)*10000+(9999-ROW()),""))</f>
        <v/>
      </c>
    </row>
    <row r="160" customFormat="false" ht="15" hidden="false" customHeight="false" outlineLevel="0" collapsed="false">
      <c r="A160" s="30"/>
      <c r="B160" s="30"/>
      <c r="D160" s="0" t="str">
        <f aca="false">IF($A160="","",IF(COUNTIF($A$6:$A160,$A160)=1,COUNTIF($A$6:$A$305,$A160)*10000+(9999-ROW()),""))</f>
        <v/>
      </c>
    </row>
    <row r="161" customFormat="false" ht="15" hidden="false" customHeight="false" outlineLevel="0" collapsed="false">
      <c r="A161" s="30"/>
      <c r="B161" s="30"/>
      <c r="D161" s="0" t="str">
        <f aca="false">IF($A161="","",IF(COUNTIF($A$6:$A161,$A161)=1,COUNTIF($A$6:$A$305,$A161)*10000+(9999-ROW()),""))</f>
        <v/>
      </c>
    </row>
    <row r="162" customFormat="false" ht="15" hidden="false" customHeight="false" outlineLevel="0" collapsed="false">
      <c r="A162" s="30"/>
      <c r="B162" s="30"/>
      <c r="D162" s="0" t="str">
        <f aca="false">IF($A162="","",IF(COUNTIF($A$6:$A162,$A162)=1,COUNTIF($A$6:$A$305,$A162)*10000+(9999-ROW()),""))</f>
        <v/>
      </c>
    </row>
    <row r="163" customFormat="false" ht="15" hidden="false" customHeight="false" outlineLevel="0" collapsed="false">
      <c r="A163" s="30"/>
      <c r="B163" s="30"/>
      <c r="D163" s="0" t="str">
        <f aca="false">IF($A163="","",IF(COUNTIF($A$6:$A163,$A163)=1,COUNTIF($A$6:$A$305,$A163)*10000+(9999-ROW()),""))</f>
        <v/>
      </c>
    </row>
    <row r="164" customFormat="false" ht="15" hidden="false" customHeight="false" outlineLevel="0" collapsed="false">
      <c r="A164" s="30"/>
      <c r="B164" s="30"/>
      <c r="D164" s="0" t="str">
        <f aca="false">IF($A164="","",IF(COUNTIF($A$6:$A164,$A164)=1,COUNTIF($A$6:$A$305,$A164)*10000+(9999-ROW()),""))</f>
        <v/>
      </c>
    </row>
    <row r="165" customFormat="false" ht="15" hidden="false" customHeight="false" outlineLevel="0" collapsed="false">
      <c r="A165" s="30"/>
      <c r="B165" s="30"/>
      <c r="D165" s="0" t="str">
        <f aca="false">IF($A165="","",IF(COUNTIF($A$6:$A165,$A165)=1,COUNTIF($A$6:$A$305,$A165)*10000+(9999-ROW()),""))</f>
        <v/>
      </c>
    </row>
    <row r="166" customFormat="false" ht="15" hidden="false" customHeight="false" outlineLevel="0" collapsed="false">
      <c r="A166" s="30"/>
      <c r="B166" s="30"/>
      <c r="D166" s="0" t="str">
        <f aca="false">IF($A166="","",IF(COUNTIF($A$6:$A166,$A166)=1,COUNTIF($A$6:$A$305,$A166)*10000+(9999-ROW()),""))</f>
        <v/>
      </c>
    </row>
    <row r="167" customFormat="false" ht="15" hidden="false" customHeight="false" outlineLevel="0" collapsed="false">
      <c r="A167" s="30"/>
      <c r="B167" s="30"/>
      <c r="D167" s="0" t="str">
        <f aca="false">IF($A167="","",IF(COUNTIF($A$6:$A167,$A167)=1,COUNTIF($A$6:$A$305,$A167)*10000+(9999-ROW()),""))</f>
        <v/>
      </c>
    </row>
    <row r="168" customFormat="false" ht="15" hidden="false" customHeight="false" outlineLevel="0" collapsed="false">
      <c r="A168" s="30"/>
      <c r="B168" s="30"/>
      <c r="D168" s="0" t="str">
        <f aca="false">IF($A168="","",IF(COUNTIF($A$6:$A168,$A168)=1,COUNTIF($A$6:$A$305,$A168)*10000+(9999-ROW()),""))</f>
        <v/>
      </c>
    </row>
    <row r="169" customFormat="false" ht="15" hidden="false" customHeight="false" outlineLevel="0" collapsed="false">
      <c r="A169" s="30"/>
      <c r="B169" s="30"/>
      <c r="D169" s="0" t="str">
        <f aca="false">IF($A169="","",IF(COUNTIF($A$6:$A169,$A169)=1,COUNTIF($A$6:$A$305,$A169)*10000+(9999-ROW()),""))</f>
        <v/>
      </c>
    </row>
    <row r="170" customFormat="false" ht="15" hidden="false" customHeight="false" outlineLevel="0" collapsed="false">
      <c r="A170" s="30"/>
      <c r="B170" s="30"/>
      <c r="D170" s="0" t="str">
        <f aca="false">IF($A170="","",IF(COUNTIF($A$6:$A170,$A170)=1,COUNTIF($A$6:$A$305,$A170)*10000+(9999-ROW()),""))</f>
        <v/>
      </c>
    </row>
    <row r="171" customFormat="false" ht="15" hidden="false" customHeight="false" outlineLevel="0" collapsed="false">
      <c r="A171" s="30"/>
      <c r="B171" s="30"/>
      <c r="D171" s="0" t="str">
        <f aca="false">IF($A171="","",IF(COUNTIF($A$6:$A171,$A171)=1,COUNTIF($A$6:$A$305,$A171)*10000+(9999-ROW()),""))</f>
        <v/>
      </c>
    </row>
    <row r="172" customFormat="false" ht="15" hidden="false" customHeight="false" outlineLevel="0" collapsed="false">
      <c r="A172" s="30"/>
      <c r="B172" s="30"/>
      <c r="D172" s="0" t="str">
        <f aca="false">IF($A172="","",IF(COUNTIF($A$6:$A172,$A172)=1,COUNTIF($A$6:$A$305,$A172)*10000+(9999-ROW()),""))</f>
        <v/>
      </c>
    </row>
    <row r="173" customFormat="false" ht="15" hidden="false" customHeight="false" outlineLevel="0" collapsed="false">
      <c r="A173" s="30"/>
      <c r="B173" s="30"/>
      <c r="D173" s="0" t="str">
        <f aca="false">IF($A173="","",IF(COUNTIF($A$6:$A173,$A173)=1,COUNTIF($A$6:$A$305,$A173)*10000+(9999-ROW()),""))</f>
        <v/>
      </c>
    </row>
    <row r="174" customFormat="false" ht="15" hidden="false" customHeight="false" outlineLevel="0" collapsed="false">
      <c r="A174" s="30"/>
      <c r="B174" s="30"/>
      <c r="D174" s="0" t="str">
        <f aca="false">IF($A174="","",IF(COUNTIF($A$6:$A174,$A174)=1,COUNTIF($A$6:$A$305,$A174)*10000+(9999-ROW()),""))</f>
        <v/>
      </c>
    </row>
    <row r="175" customFormat="false" ht="15" hidden="false" customHeight="false" outlineLevel="0" collapsed="false">
      <c r="A175" s="30"/>
      <c r="B175" s="30"/>
      <c r="D175" s="0" t="str">
        <f aca="false">IF($A175="","",IF(COUNTIF($A$6:$A175,$A175)=1,COUNTIF($A$6:$A$305,$A175)*10000+(9999-ROW()),""))</f>
        <v/>
      </c>
    </row>
    <row r="176" customFormat="false" ht="15" hidden="false" customHeight="false" outlineLevel="0" collapsed="false">
      <c r="A176" s="30"/>
      <c r="B176" s="30"/>
      <c r="D176" s="0" t="str">
        <f aca="false">IF($A176="","",IF(COUNTIF($A$6:$A176,$A176)=1,COUNTIF($A$6:$A$305,$A176)*10000+(9999-ROW()),""))</f>
        <v/>
      </c>
    </row>
    <row r="177" customFormat="false" ht="15" hidden="false" customHeight="false" outlineLevel="0" collapsed="false">
      <c r="A177" s="30"/>
      <c r="B177" s="30"/>
      <c r="D177" s="0" t="str">
        <f aca="false">IF($A177="","",IF(COUNTIF($A$6:$A177,$A177)=1,COUNTIF($A$6:$A$305,$A177)*10000+(9999-ROW()),""))</f>
        <v/>
      </c>
    </row>
    <row r="178" customFormat="false" ht="15" hidden="false" customHeight="false" outlineLevel="0" collapsed="false">
      <c r="A178" s="30"/>
      <c r="B178" s="30"/>
      <c r="D178" s="0" t="str">
        <f aca="false">IF($A178="","",IF(COUNTIF($A$6:$A178,$A178)=1,COUNTIF($A$6:$A$305,$A178)*10000+(9999-ROW()),""))</f>
        <v/>
      </c>
    </row>
    <row r="179" customFormat="false" ht="15" hidden="false" customHeight="false" outlineLevel="0" collapsed="false">
      <c r="A179" s="30"/>
      <c r="B179" s="30"/>
      <c r="D179" s="0" t="str">
        <f aca="false">IF($A179="","",IF(COUNTIF($A$6:$A179,$A179)=1,COUNTIF($A$6:$A$305,$A179)*10000+(9999-ROW()),""))</f>
        <v/>
      </c>
    </row>
    <row r="180" customFormat="false" ht="15" hidden="false" customHeight="false" outlineLevel="0" collapsed="false">
      <c r="A180" s="30"/>
      <c r="B180" s="30"/>
      <c r="D180" s="0" t="str">
        <f aca="false">IF($A180="","",IF(COUNTIF($A$6:$A180,$A180)=1,COUNTIF($A$6:$A$305,$A180)*10000+(9999-ROW()),""))</f>
        <v/>
      </c>
    </row>
    <row r="181" customFormat="false" ht="15" hidden="false" customHeight="false" outlineLevel="0" collapsed="false">
      <c r="A181" s="30"/>
      <c r="B181" s="30"/>
      <c r="D181" s="0" t="str">
        <f aca="false">IF($A181="","",IF(COUNTIF($A$6:$A181,$A181)=1,COUNTIF($A$6:$A$305,$A181)*10000+(9999-ROW()),""))</f>
        <v/>
      </c>
    </row>
    <row r="182" customFormat="false" ht="15" hidden="false" customHeight="false" outlineLevel="0" collapsed="false">
      <c r="A182" s="30"/>
      <c r="B182" s="30"/>
      <c r="D182" s="0" t="str">
        <f aca="false">IF($A182="","",IF(COUNTIF($A$6:$A182,$A182)=1,COUNTIF($A$6:$A$305,$A182)*10000+(9999-ROW()),""))</f>
        <v/>
      </c>
    </row>
    <row r="183" customFormat="false" ht="15" hidden="false" customHeight="false" outlineLevel="0" collapsed="false">
      <c r="A183" s="30"/>
      <c r="B183" s="30"/>
      <c r="D183" s="0" t="str">
        <f aca="false">IF($A183="","",IF(COUNTIF($A$6:$A183,$A183)=1,COUNTIF($A$6:$A$305,$A183)*10000+(9999-ROW()),""))</f>
        <v/>
      </c>
    </row>
    <row r="184" customFormat="false" ht="15" hidden="false" customHeight="false" outlineLevel="0" collapsed="false">
      <c r="A184" s="30"/>
      <c r="B184" s="30"/>
      <c r="D184" s="0" t="str">
        <f aca="false">IF($A184="","",IF(COUNTIF($A$6:$A184,$A184)=1,COUNTIF($A$6:$A$305,$A184)*10000+(9999-ROW()),""))</f>
        <v/>
      </c>
    </row>
    <row r="185" customFormat="false" ht="15" hidden="false" customHeight="false" outlineLevel="0" collapsed="false">
      <c r="A185" s="30"/>
      <c r="B185" s="30"/>
      <c r="D185" s="0" t="str">
        <f aca="false">IF($A185="","",IF(COUNTIF($A$6:$A185,$A185)=1,COUNTIF($A$6:$A$305,$A185)*10000+(9999-ROW()),""))</f>
        <v/>
      </c>
    </row>
    <row r="186" customFormat="false" ht="15" hidden="false" customHeight="false" outlineLevel="0" collapsed="false">
      <c r="A186" s="30"/>
      <c r="B186" s="30"/>
      <c r="D186" s="0" t="str">
        <f aca="false">IF($A186="","",IF(COUNTIF($A$6:$A186,$A186)=1,COUNTIF($A$6:$A$305,$A186)*10000+(9999-ROW()),""))</f>
        <v/>
      </c>
    </row>
    <row r="187" customFormat="false" ht="15" hidden="false" customHeight="false" outlineLevel="0" collapsed="false">
      <c r="A187" s="30"/>
      <c r="B187" s="30"/>
      <c r="D187" s="0" t="str">
        <f aca="false">IF($A187="","",IF(COUNTIF($A$6:$A187,$A187)=1,COUNTIF($A$6:$A$305,$A187)*10000+(9999-ROW()),""))</f>
        <v/>
      </c>
    </row>
    <row r="188" customFormat="false" ht="15" hidden="false" customHeight="false" outlineLevel="0" collapsed="false">
      <c r="A188" s="30"/>
      <c r="B188" s="30"/>
      <c r="D188" s="0" t="str">
        <f aca="false">IF($A188="","",IF(COUNTIF($A$6:$A188,$A188)=1,COUNTIF($A$6:$A$305,$A188)*10000+(9999-ROW()),""))</f>
        <v/>
      </c>
    </row>
    <row r="189" customFormat="false" ht="15" hidden="false" customHeight="false" outlineLevel="0" collapsed="false">
      <c r="A189" s="30"/>
      <c r="B189" s="30"/>
      <c r="D189" s="0" t="str">
        <f aca="false">IF($A189="","",IF(COUNTIF($A$6:$A189,$A189)=1,COUNTIF($A$6:$A$305,$A189)*10000+(9999-ROW()),""))</f>
        <v/>
      </c>
    </row>
    <row r="190" customFormat="false" ht="15" hidden="false" customHeight="false" outlineLevel="0" collapsed="false">
      <c r="A190" s="30"/>
      <c r="B190" s="30"/>
      <c r="D190" s="0" t="str">
        <f aca="false">IF($A190="","",IF(COUNTIF($A$6:$A190,$A190)=1,COUNTIF($A$6:$A$305,$A190)*10000+(9999-ROW()),""))</f>
        <v/>
      </c>
    </row>
    <row r="191" customFormat="false" ht="15" hidden="false" customHeight="false" outlineLevel="0" collapsed="false">
      <c r="A191" s="30"/>
      <c r="B191" s="30"/>
      <c r="D191" s="0" t="str">
        <f aca="false">IF($A191="","",IF(COUNTIF($A$6:$A191,$A191)=1,COUNTIF($A$6:$A$305,$A191)*10000+(9999-ROW()),""))</f>
        <v/>
      </c>
    </row>
    <row r="192" customFormat="false" ht="15" hidden="false" customHeight="false" outlineLevel="0" collapsed="false">
      <c r="A192" s="30"/>
      <c r="B192" s="30"/>
      <c r="D192" s="0" t="str">
        <f aca="false">IF($A192="","",IF(COUNTIF($A$6:$A192,$A192)=1,COUNTIF($A$6:$A$305,$A192)*10000+(9999-ROW()),""))</f>
        <v/>
      </c>
    </row>
    <row r="193" customFormat="false" ht="15" hidden="false" customHeight="false" outlineLevel="0" collapsed="false">
      <c r="A193" s="30"/>
      <c r="B193" s="30"/>
      <c r="D193" s="0" t="str">
        <f aca="false">IF($A193="","",IF(COUNTIF($A$6:$A193,$A193)=1,COUNTIF($A$6:$A$305,$A193)*10000+(9999-ROW()),""))</f>
        <v/>
      </c>
    </row>
    <row r="194" customFormat="false" ht="15" hidden="false" customHeight="false" outlineLevel="0" collapsed="false">
      <c r="A194" s="30"/>
      <c r="B194" s="30"/>
      <c r="D194" s="0" t="str">
        <f aca="false">IF($A194="","",IF(COUNTIF($A$6:$A194,$A194)=1,COUNTIF($A$6:$A$305,$A194)*10000+(9999-ROW()),""))</f>
        <v/>
      </c>
    </row>
    <row r="195" customFormat="false" ht="15" hidden="false" customHeight="false" outlineLevel="0" collapsed="false">
      <c r="A195" s="30"/>
      <c r="B195" s="30"/>
      <c r="D195" s="0" t="str">
        <f aca="false">IF($A195="","",IF(COUNTIF($A$6:$A195,$A195)=1,COUNTIF($A$6:$A$305,$A195)*10000+(9999-ROW()),""))</f>
        <v/>
      </c>
    </row>
    <row r="196" customFormat="false" ht="15" hidden="false" customHeight="false" outlineLevel="0" collapsed="false">
      <c r="A196" s="30"/>
      <c r="B196" s="30"/>
      <c r="D196" s="0" t="str">
        <f aca="false">IF($A196="","",IF(COUNTIF($A$6:$A196,$A196)=1,COUNTIF($A$6:$A$305,$A196)*10000+(9999-ROW()),""))</f>
        <v/>
      </c>
    </row>
    <row r="197" customFormat="false" ht="15" hidden="false" customHeight="false" outlineLevel="0" collapsed="false">
      <c r="A197" s="30"/>
      <c r="B197" s="30"/>
      <c r="D197" s="0" t="str">
        <f aca="false">IF($A197="","",IF(COUNTIF($A$6:$A197,$A197)=1,COUNTIF($A$6:$A$305,$A197)*10000+(9999-ROW()),""))</f>
        <v/>
      </c>
    </row>
    <row r="198" customFormat="false" ht="15" hidden="false" customHeight="false" outlineLevel="0" collapsed="false">
      <c r="A198" s="30"/>
      <c r="B198" s="30"/>
      <c r="D198" s="0" t="str">
        <f aca="false">IF($A198="","",IF(COUNTIF($A$6:$A198,$A198)=1,COUNTIF($A$6:$A$305,$A198)*10000+(9999-ROW()),""))</f>
        <v/>
      </c>
    </row>
    <row r="199" customFormat="false" ht="15" hidden="false" customHeight="false" outlineLevel="0" collapsed="false">
      <c r="A199" s="30"/>
      <c r="B199" s="30"/>
      <c r="D199" s="0" t="str">
        <f aca="false">IF($A199="","",IF(COUNTIF($A$6:$A199,$A199)=1,COUNTIF($A$6:$A$305,$A199)*10000+(9999-ROW()),""))</f>
        <v/>
      </c>
    </row>
    <row r="200" customFormat="false" ht="15" hidden="false" customHeight="false" outlineLevel="0" collapsed="false">
      <c r="A200" s="30"/>
      <c r="B200" s="30"/>
      <c r="D200" s="0" t="str">
        <f aca="false">IF($A200="","",IF(COUNTIF($A$6:$A200,$A200)=1,COUNTIF($A$6:$A$305,$A200)*10000+(9999-ROW()),""))</f>
        <v/>
      </c>
    </row>
    <row r="201" customFormat="false" ht="15" hidden="false" customHeight="false" outlineLevel="0" collapsed="false">
      <c r="A201" s="30"/>
      <c r="B201" s="30"/>
      <c r="D201" s="0" t="str">
        <f aca="false">IF($A201="","",IF(COUNTIF($A$6:$A201,$A201)=1,COUNTIF($A$6:$A$305,$A201)*10000+(9999-ROW()),""))</f>
        <v/>
      </c>
    </row>
    <row r="202" customFormat="false" ht="15" hidden="false" customHeight="false" outlineLevel="0" collapsed="false">
      <c r="A202" s="30"/>
      <c r="B202" s="30"/>
      <c r="D202" s="0" t="str">
        <f aca="false">IF($A202="","",IF(COUNTIF($A$6:$A202,$A202)=1,COUNTIF($A$6:$A$305,$A202)*10000+(9999-ROW()),""))</f>
        <v/>
      </c>
    </row>
    <row r="203" customFormat="false" ht="15" hidden="false" customHeight="false" outlineLevel="0" collapsed="false">
      <c r="A203" s="30"/>
      <c r="B203" s="30"/>
      <c r="D203" s="0" t="str">
        <f aca="false">IF($A203="","",IF(COUNTIF($A$6:$A203,$A203)=1,COUNTIF($A$6:$A$305,$A203)*10000+(9999-ROW()),""))</f>
        <v/>
      </c>
    </row>
    <row r="204" customFormat="false" ht="15" hidden="false" customHeight="false" outlineLevel="0" collapsed="false">
      <c r="A204" s="30"/>
      <c r="B204" s="30"/>
      <c r="D204" s="0" t="str">
        <f aca="false">IF($A204="","",IF(COUNTIF($A$6:$A204,$A204)=1,COUNTIF($A$6:$A$305,$A204)*10000+(9999-ROW()),""))</f>
        <v/>
      </c>
    </row>
    <row r="205" customFormat="false" ht="15" hidden="false" customHeight="false" outlineLevel="0" collapsed="false">
      <c r="A205" s="30"/>
      <c r="B205" s="30"/>
      <c r="D205" s="0" t="str">
        <f aca="false">IF($A205="","",IF(COUNTIF($A$6:$A205,$A205)=1,COUNTIF($A$6:$A$305,$A205)*10000+(9999-ROW()),""))</f>
        <v/>
      </c>
    </row>
    <row r="206" customFormat="false" ht="15" hidden="false" customHeight="false" outlineLevel="0" collapsed="false">
      <c r="A206" s="30"/>
      <c r="B206" s="30"/>
      <c r="D206" s="0" t="str">
        <f aca="false">IF($A206="","",IF(COUNTIF($A$6:$A206,$A206)=1,COUNTIF($A$6:$A$305,$A206)*10000+(9999-ROW()),""))</f>
        <v/>
      </c>
    </row>
    <row r="207" customFormat="false" ht="15" hidden="false" customHeight="false" outlineLevel="0" collapsed="false">
      <c r="A207" s="30"/>
      <c r="B207" s="30"/>
      <c r="D207" s="0" t="str">
        <f aca="false">IF($A207="","",IF(COUNTIF($A$6:$A207,$A207)=1,COUNTIF($A$6:$A$305,$A207)*10000+(9999-ROW()),""))</f>
        <v/>
      </c>
    </row>
    <row r="208" customFormat="false" ht="15" hidden="false" customHeight="false" outlineLevel="0" collapsed="false">
      <c r="A208" s="30"/>
      <c r="B208" s="30"/>
      <c r="D208" s="0" t="str">
        <f aca="false">IF($A208="","",IF(COUNTIF($A$6:$A208,$A208)=1,COUNTIF($A$6:$A$305,$A208)*10000+(9999-ROW()),""))</f>
        <v/>
      </c>
    </row>
    <row r="209" customFormat="false" ht="15" hidden="false" customHeight="false" outlineLevel="0" collapsed="false">
      <c r="A209" s="30"/>
      <c r="B209" s="30"/>
      <c r="D209" s="0" t="str">
        <f aca="false">IF($A209="","",IF(COUNTIF($A$6:$A209,$A209)=1,COUNTIF($A$6:$A$305,$A209)*10000+(9999-ROW()),""))</f>
        <v/>
      </c>
    </row>
    <row r="210" customFormat="false" ht="15" hidden="false" customHeight="false" outlineLevel="0" collapsed="false">
      <c r="A210" s="30"/>
      <c r="B210" s="30"/>
      <c r="D210" s="0" t="str">
        <f aca="false">IF($A210="","",IF(COUNTIF($A$6:$A210,$A210)=1,COUNTIF($A$6:$A$305,$A210)*10000+(9999-ROW()),""))</f>
        <v/>
      </c>
    </row>
    <row r="211" customFormat="false" ht="15" hidden="false" customHeight="false" outlineLevel="0" collapsed="false">
      <c r="A211" s="30"/>
      <c r="B211" s="30"/>
      <c r="D211" s="0" t="str">
        <f aca="false">IF($A211="","",IF(COUNTIF($A$6:$A211,$A211)=1,COUNTIF($A$6:$A$305,$A211)*10000+(9999-ROW()),""))</f>
        <v/>
      </c>
    </row>
    <row r="212" customFormat="false" ht="15" hidden="false" customHeight="false" outlineLevel="0" collapsed="false">
      <c r="A212" s="30"/>
      <c r="B212" s="30"/>
      <c r="D212" s="0" t="str">
        <f aca="false">IF($A212="","",IF(COUNTIF($A$6:$A212,$A212)=1,COUNTIF($A$6:$A$305,$A212)*10000+(9999-ROW()),""))</f>
        <v/>
      </c>
    </row>
    <row r="213" customFormat="false" ht="15" hidden="false" customHeight="false" outlineLevel="0" collapsed="false">
      <c r="A213" s="30"/>
      <c r="B213" s="30"/>
      <c r="D213" s="0" t="str">
        <f aca="false">IF($A213="","",IF(COUNTIF($A$6:$A213,$A213)=1,COUNTIF($A$6:$A$305,$A213)*10000+(9999-ROW()),""))</f>
        <v/>
      </c>
    </row>
    <row r="214" customFormat="false" ht="15" hidden="false" customHeight="false" outlineLevel="0" collapsed="false">
      <c r="A214" s="30"/>
      <c r="B214" s="30"/>
      <c r="D214" s="0" t="str">
        <f aca="false">IF($A214="","",IF(COUNTIF($A$6:$A214,$A214)=1,COUNTIF($A$6:$A$305,$A214)*10000+(9999-ROW()),""))</f>
        <v/>
      </c>
    </row>
    <row r="215" customFormat="false" ht="15" hidden="false" customHeight="false" outlineLevel="0" collapsed="false">
      <c r="A215" s="30"/>
      <c r="B215" s="30"/>
      <c r="D215" s="0" t="str">
        <f aca="false">IF($A215="","",IF(COUNTIF($A$6:$A215,$A215)=1,COUNTIF($A$6:$A$305,$A215)*10000+(9999-ROW()),""))</f>
        <v/>
      </c>
    </row>
    <row r="216" customFormat="false" ht="15" hidden="false" customHeight="false" outlineLevel="0" collapsed="false">
      <c r="A216" s="30"/>
      <c r="B216" s="30"/>
      <c r="D216" s="0" t="str">
        <f aca="false">IF($A216="","",IF(COUNTIF($A$6:$A216,$A216)=1,COUNTIF($A$6:$A$305,$A216)*10000+(9999-ROW()),""))</f>
        <v/>
      </c>
    </row>
    <row r="217" customFormat="false" ht="15" hidden="false" customHeight="false" outlineLevel="0" collapsed="false">
      <c r="A217" s="30"/>
      <c r="B217" s="30"/>
      <c r="D217" s="0" t="str">
        <f aca="false">IF($A217="","",IF(COUNTIF($A$6:$A217,$A217)=1,COUNTIF($A$6:$A$305,$A217)*10000+(9999-ROW()),""))</f>
        <v/>
      </c>
    </row>
    <row r="218" customFormat="false" ht="15" hidden="false" customHeight="false" outlineLevel="0" collapsed="false">
      <c r="A218" s="30"/>
      <c r="B218" s="30"/>
      <c r="D218" s="0" t="str">
        <f aca="false">IF($A218="","",IF(COUNTIF($A$6:$A218,$A218)=1,COUNTIF($A$6:$A$305,$A218)*10000+(9999-ROW()),""))</f>
        <v/>
      </c>
    </row>
    <row r="219" customFormat="false" ht="15" hidden="false" customHeight="false" outlineLevel="0" collapsed="false">
      <c r="A219" s="30"/>
      <c r="B219" s="30"/>
      <c r="D219" s="0" t="str">
        <f aca="false">IF($A219="","",IF(COUNTIF($A$6:$A219,$A219)=1,COUNTIF($A$6:$A$305,$A219)*10000+(9999-ROW()),""))</f>
        <v/>
      </c>
    </row>
    <row r="220" customFormat="false" ht="15" hidden="false" customHeight="false" outlineLevel="0" collapsed="false">
      <c r="A220" s="30"/>
      <c r="B220" s="30"/>
      <c r="D220" s="0" t="str">
        <f aca="false">IF($A220="","",IF(COUNTIF($A$6:$A220,$A220)=1,COUNTIF($A$6:$A$305,$A220)*10000+(9999-ROW()),""))</f>
        <v/>
      </c>
    </row>
    <row r="221" customFormat="false" ht="15" hidden="false" customHeight="false" outlineLevel="0" collapsed="false">
      <c r="A221" s="30"/>
      <c r="B221" s="30"/>
      <c r="D221" s="0" t="str">
        <f aca="false">IF($A221="","",IF(COUNTIF($A$6:$A221,$A221)=1,COUNTIF($A$6:$A$305,$A221)*10000+(9999-ROW()),""))</f>
        <v/>
      </c>
    </row>
    <row r="222" customFormat="false" ht="15" hidden="false" customHeight="false" outlineLevel="0" collapsed="false">
      <c r="A222" s="30"/>
      <c r="B222" s="30"/>
      <c r="D222" s="0" t="str">
        <f aca="false">IF($A222="","",IF(COUNTIF($A$6:$A222,$A222)=1,COUNTIF($A$6:$A$305,$A222)*10000+(9999-ROW()),""))</f>
        <v/>
      </c>
    </row>
    <row r="223" customFormat="false" ht="15" hidden="false" customHeight="false" outlineLevel="0" collapsed="false">
      <c r="A223" s="30"/>
      <c r="B223" s="30"/>
      <c r="D223" s="0" t="str">
        <f aca="false">IF($A223="","",IF(COUNTIF($A$6:$A223,$A223)=1,COUNTIF($A$6:$A$305,$A223)*10000+(9999-ROW()),""))</f>
        <v/>
      </c>
    </row>
    <row r="224" customFormat="false" ht="15" hidden="false" customHeight="false" outlineLevel="0" collapsed="false">
      <c r="A224" s="30"/>
      <c r="B224" s="30"/>
      <c r="D224" s="0" t="str">
        <f aca="false">IF($A224="","",IF(COUNTIF($A$6:$A224,$A224)=1,COUNTIF($A$6:$A$305,$A224)*10000+(9999-ROW()),""))</f>
        <v/>
      </c>
    </row>
    <row r="225" customFormat="false" ht="15" hidden="false" customHeight="false" outlineLevel="0" collapsed="false">
      <c r="A225" s="30"/>
      <c r="B225" s="30"/>
      <c r="D225" s="0" t="str">
        <f aca="false">IF($A225="","",IF(COUNTIF($A$6:$A225,$A225)=1,COUNTIF($A$6:$A$305,$A225)*10000+(9999-ROW()),""))</f>
        <v/>
      </c>
    </row>
    <row r="226" customFormat="false" ht="15" hidden="false" customHeight="false" outlineLevel="0" collapsed="false">
      <c r="A226" s="30"/>
      <c r="B226" s="30"/>
      <c r="D226" s="0" t="str">
        <f aca="false">IF($A226="","",IF(COUNTIF($A$6:$A226,$A226)=1,COUNTIF($A$6:$A$305,$A226)*10000+(9999-ROW()),""))</f>
        <v/>
      </c>
    </row>
    <row r="227" customFormat="false" ht="15" hidden="false" customHeight="false" outlineLevel="0" collapsed="false">
      <c r="A227" s="30"/>
      <c r="B227" s="30"/>
      <c r="D227" s="0" t="str">
        <f aca="false">IF($A227="","",IF(COUNTIF($A$6:$A227,$A227)=1,COUNTIF($A$6:$A$305,$A227)*10000+(9999-ROW()),""))</f>
        <v/>
      </c>
    </row>
    <row r="228" customFormat="false" ht="15" hidden="false" customHeight="false" outlineLevel="0" collapsed="false">
      <c r="A228" s="30"/>
      <c r="B228" s="30"/>
      <c r="D228" s="0" t="str">
        <f aca="false">IF($A228="","",IF(COUNTIF($A$6:$A228,$A228)=1,COUNTIF($A$6:$A$305,$A228)*10000+(9999-ROW()),""))</f>
        <v/>
      </c>
    </row>
    <row r="229" customFormat="false" ht="15" hidden="false" customHeight="false" outlineLevel="0" collapsed="false">
      <c r="A229" s="30"/>
      <c r="B229" s="30"/>
      <c r="D229" s="0" t="str">
        <f aca="false">IF($A229="","",IF(COUNTIF($A$6:$A229,$A229)=1,COUNTIF($A$6:$A$305,$A229)*10000+(9999-ROW()),""))</f>
        <v/>
      </c>
    </row>
    <row r="230" customFormat="false" ht="15" hidden="false" customHeight="false" outlineLevel="0" collapsed="false">
      <c r="A230" s="30"/>
      <c r="B230" s="30"/>
      <c r="D230" s="0" t="str">
        <f aca="false">IF($A230="","",IF(COUNTIF($A$6:$A230,$A230)=1,COUNTIF($A$6:$A$305,$A230)*10000+(9999-ROW()),""))</f>
        <v/>
      </c>
    </row>
    <row r="231" customFormat="false" ht="15" hidden="false" customHeight="false" outlineLevel="0" collapsed="false">
      <c r="A231" s="30"/>
      <c r="B231" s="30"/>
      <c r="D231" s="0" t="str">
        <f aca="false">IF($A231="","",IF(COUNTIF($A$6:$A231,$A231)=1,COUNTIF($A$6:$A$305,$A231)*10000+(9999-ROW()),""))</f>
        <v/>
      </c>
    </row>
    <row r="232" customFormat="false" ht="15" hidden="false" customHeight="false" outlineLevel="0" collapsed="false">
      <c r="A232" s="30"/>
      <c r="B232" s="30"/>
      <c r="D232" s="0" t="str">
        <f aca="false">IF($A232="","",IF(COUNTIF($A$6:$A232,$A232)=1,COUNTIF($A$6:$A$305,$A232)*10000+(9999-ROW()),""))</f>
        <v/>
      </c>
    </row>
    <row r="233" customFormat="false" ht="15" hidden="false" customHeight="false" outlineLevel="0" collapsed="false">
      <c r="A233" s="30"/>
      <c r="B233" s="30"/>
      <c r="D233" s="0" t="str">
        <f aca="false">IF($A233="","",IF(COUNTIF($A$6:$A233,$A233)=1,COUNTIF($A$6:$A$305,$A233)*10000+(9999-ROW()),""))</f>
        <v/>
      </c>
    </row>
    <row r="234" customFormat="false" ht="15" hidden="false" customHeight="false" outlineLevel="0" collapsed="false">
      <c r="A234" s="30"/>
      <c r="B234" s="30"/>
      <c r="D234" s="0" t="str">
        <f aca="false">IF($A234="","",IF(COUNTIF($A$6:$A234,$A234)=1,COUNTIF($A$6:$A$305,$A234)*10000+(9999-ROW()),""))</f>
        <v/>
      </c>
    </row>
    <row r="235" customFormat="false" ht="15" hidden="false" customHeight="false" outlineLevel="0" collapsed="false">
      <c r="A235" s="30"/>
      <c r="B235" s="30"/>
      <c r="D235" s="0" t="str">
        <f aca="false">IF($A235="","",IF(COUNTIF($A$6:$A235,$A235)=1,COUNTIF($A$6:$A$305,$A235)*10000+(9999-ROW()),""))</f>
        <v/>
      </c>
    </row>
    <row r="236" customFormat="false" ht="15" hidden="false" customHeight="false" outlineLevel="0" collapsed="false">
      <c r="A236" s="30"/>
      <c r="B236" s="30"/>
      <c r="D236" s="0" t="str">
        <f aca="false">IF($A236="","",IF(COUNTIF($A$6:$A236,$A236)=1,COUNTIF($A$6:$A$305,$A236)*10000+(9999-ROW()),""))</f>
        <v/>
      </c>
    </row>
    <row r="237" customFormat="false" ht="15" hidden="false" customHeight="false" outlineLevel="0" collapsed="false">
      <c r="A237" s="30"/>
      <c r="B237" s="30"/>
      <c r="D237" s="0" t="str">
        <f aca="false">IF($A237="","",IF(COUNTIF($A$6:$A237,$A237)=1,COUNTIF($A$6:$A$305,$A237)*10000+(9999-ROW()),""))</f>
        <v/>
      </c>
    </row>
    <row r="238" customFormat="false" ht="15" hidden="false" customHeight="false" outlineLevel="0" collapsed="false">
      <c r="A238" s="30"/>
      <c r="B238" s="30"/>
      <c r="D238" s="0" t="str">
        <f aca="false">IF($A238="","",IF(COUNTIF($A$6:$A238,$A238)=1,COUNTIF($A$6:$A$305,$A238)*10000+(9999-ROW()),""))</f>
        <v/>
      </c>
    </row>
    <row r="239" customFormat="false" ht="15" hidden="false" customHeight="false" outlineLevel="0" collapsed="false">
      <c r="A239" s="30"/>
      <c r="B239" s="30"/>
      <c r="D239" s="0" t="str">
        <f aca="false">IF($A239="","",IF(COUNTIF($A$6:$A239,$A239)=1,COUNTIF($A$6:$A$305,$A239)*10000+(9999-ROW()),""))</f>
        <v/>
      </c>
    </row>
    <row r="240" customFormat="false" ht="15" hidden="false" customHeight="false" outlineLevel="0" collapsed="false">
      <c r="A240" s="30"/>
      <c r="B240" s="30"/>
      <c r="D240" s="0" t="str">
        <f aca="false">IF($A240="","",IF(COUNTIF($A$6:$A240,$A240)=1,COUNTIF($A$6:$A$305,$A240)*10000+(9999-ROW()),""))</f>
        <v/>
      </c>
    </row>
    <row r="241" customFormat="false" ht="15" hidden="false" customHeight="false" outlineLevel="0" collapsed="false">
      <c r="A241" s="30"/>
      <c r="B241" s="30"/>
      <c r="D241" s="0" t="str">
        <f aca="false">IF($A241="","",IF(COUNTIF($A$6:$A241,$A241)=1,COUNTIF($A$6:$A$305,$A241)*10000+(9999-ROW()),""))</f>
        <v/>
      </c>
    </row>
    <row r="242" customFormat="false" ht="15" hidden="false" customHeight="false" outlineLevel="0" collapsed="false">
      <c r="A242" s="30"/>
      <c r="B242" s="30"/>
      <c r="D242" s="0" t="str">
        <f aca="false">IF($A242="","",IF(COUNTIF($A$6:$A242,$A242)=1,COUNTIF($A$6:$A$305,$A242)*10000+(9999-ROW()),""))</f>
        <v/>
      </c>
    </row>
    <row r="243" customFormat="false" ht="15" hidden="false" customHeight="false" outlineLevel="0" collapsed="false">
      <c r="A243" s="30"/>
      <c r="B243" s="30"/>
      <c r="D243" s="0" t="str">
        <f aca="false">IF($A243="","",IF(COUNTIF($A$6:$A243,$A243)=1,COUNTIF($A$6:$A$305,$A243)*10000+(9999-ROW()),""))</f>
        <v/>
      </c>
    </row>
    <row r="244" customFormat="false" ht="15" hidden="false" customHeight="false" outlineLevel="0" collapsed="false">
      <c r="A244" s="30"/>
      <c r="B244" s="30"/>
      <c r="D244" s="0" t="str">
        <f aca="false">IF($A244="","",IF(COUNTIF($A$6:$A244,$A244)=1,COUNTIF($A$6:$A$305,$A244)*10000+(9999-ROW()),""))</f>
        <v/>
      </c>
    </row>
    <row r="245" customFormat="false" ht="15" hidden="false" customHeight="false" outlineLevel="0" collapsed="false">
      <c r="A245" s="30"/>
      <c r="B245" s="30"/>
      <c r="D245" s="0" t="str">
        <f aca="false">IF($A245="","",IF(COUNTIF($A$6:$A245,$A245)=1,COUNTIF($A$6:$A$305,$A245)*10000+(9999-ROW()),""))</f>
        <v/>
      </c>
    </row>
    <row r="246" customFormat="false" ht="15" hidden="false" customHeight="false" outlineLevel="0" collapsed="false">
      <c r="A246" s="30"/>
      <c r="B246" s="30"/>
      <c r="D246" s="0" t="str">
        <f aca="false">IF($A246="","",IF(COUNTIF($A$6:$A246,$A246)=1,COUNTIF($A$6:$A$305,$A246)*10000+(9999-ROW()),""))</f>
        <v/>
      </c>
    </row>
    <row r="247" customFormat="false" ht="15" hidden="false" customHeight="false" outlineLevel="0" collapsed="false">
      <c r="A247" s="30"/>
      <c r="B247" s="30"/>
      <c r="D247" s="0" t="str">
        <f aca="false">IF($A247="","",IF(COUNTIF($A$6:$A247,$A247)=1,COUNTIF($A$6:$A$305,$A247)*10000+(9999-ROW()),""))</f>
        <v/>
      </c>
    </row>
    <row r="248" customFormat="false" ht="15" hidden="false" customHeight="false" outlineLevel="0" collapsed="false">
      <c r="A248" s="30"/>
      <c r="B248" s="30"/>
      <c r="D248" s="0" t="str">
        <f aca="false">IF($A248="","",IF(COUNTIF($A$6:$A248,$A248)=1,COUNTIF($A$6:$A$305,$A248)*10000+(9999-ROW()),""))</f>
        <v/>
      </c>
    </row>
    <row r="249" customFormat="false" ht="15" hidden="false" customHeight="false" outlineLevel="0" collapsed="false">
      <c r="A249" s="30"/>
      <c r="B249" s="30"/>
      <c r="D249" s="0" t="str">
        <f aca="false">IF($A249="","",IF(COUNTIF($A$6:$A249,$A249)=1,COUNTIF($A$6:$A$305,$A249)*10000+(9999-ROW()),""))</f>
        <v/>
      </c>
    </row>
    <row r="250" customFormat="false" ht="15" hidden="false" customHeight="false" outlineLevel="0" collapsed="false">
      <c r="A250" s="30"/>
      <c r="B250" s="30"/>
      <c r="D250" s="0" t="str">
        <f aca="false">IF($A250="","",IF(COUNTIF($A$6:$A250,$A250)=1,COUNTIF($A$6:$A$305,$A250)*10000+(9999-ROW()),""))</f>
        <v/>
      </c>
    </row>
    <row r="251" customFormat="false" ht="15" hidden="false" customHeight="false" outlineLevel="0" collapsed="false">
      <c r="A251" s="30"/>
      <c r="B251" s="30"/>
      <c r="D251" s="0" t="str">
        <f aca="false">IF($A251="","",IF(COUNTIF($A$6:$A251,$A251)=1,COUNTIF($A$6:$A$305,$A251)*10000+(9999-ROW()),""))</f>
        <v/>
      </c>
    </row>
    <row r="252" customFormat="false" ht="15" hidden="false" customHeight="false" outlineLevel="0" collapsed="false">
      <c r="A252" s="30"/>
      <c r="B252" s="30"/>
      <c r="D252" s="0" t="str">
        <f aca="false">IF($A252="","",IF(COUNTIF($A$6:$A252,$A252)=1,COUNTIF($A$6:$A$305,$A252)*10000+(9999-ROW()),""))</f>
        <v/>
      </c>
    </row>
    <row r="253" customFormat="false" ht="15" hidden="false" customHeight="false" outlineLevel="0" collapsed="false">
      <c r="A253" s="30"/>
      <c r="B253" s="30"/>
      <c r="D253" s="0" t="str">
        <f aca="false">IF($A253="","",IF(COUNTIF($A$6:$A253,$A253)=1,COUNTIF($A$6:$A$305,$A253)*10000+(9999-ROW()),""))</f>
        <v/>
      </c>
    </row>
    <row r="254" customFormat="false" ht="15" hidden="false" customHeight="false" outlineLevel="0" collapsed="false">
      <c r="A254" s="30"/>
      <c r="B254" s="30"/>
      <c r="D254" s="0" t="str">
        <f aca="false">IF($A254="","",IF(COUNTIF($A$6:$A254,$A254)=1,COUNTIF($A$6:$A$305,$A254)*10000+(9999-ROW()),""))</f>
        <v/>
      </c>
    </row>
    <row r="255" customFormat="false" ht="15" hidden="false" customHeight="false" outlineLevel="0" collapsed="false">
      <c r="A255" s="30"/>
      <c r="B255" s="30"/>
      <c r="D255" s="0" t="str">
        <f aca="false">IF($A255="","",IF(COUNTIF($A$6:$A255,$A255)=1,COUNTIF($A$6:$A$305,$A255)*10000+(9999-ROW()),""))</f>
        <v/>
      </c>
    </row>
    <row r="256" customFormat="false" ht="15" hidden="false" customHeight="false" outlineLevel="0" collapsed="false">
      <c r="A256" s="30"/>
      <c r="B256" s="30"/>
      <c r="D256" s="0" t="str">
        <f aca="false">IF($A256="","",IF(COUNTIF($A$6:$A256,$A256)=1,COUNTIF($A$6:$A$305,$A256)*10000+(9999-ROW()),""))</f>
        <v/>
      </c>
    </row>
    <row r="257" customFormat="false" ht="15" hidden="false" customHeight="false" outlineLevel="0" collapsed="false">
      <c r="A257" s="30"/>
      <c r="B257" s="30"/>
      <c r="D257" s="0" t="str">
        <f aca="false">IF($A257="","",IF(COUNTIF($A$6:$A257,$A257)=1,COUNTIF($A$6:$A$305,$A257)*10000+(9999-ROW()),""))</f>
        <v/>
      </c>
    </row>
    <row r="258" customFormat="false" ht="15" hidden="false" customHeight="false" outlineLevel="0" collapsed="false">
      <c r="A258" s="30"/>
      <c r="B258" s="30"/>
      <c r="D258" s="0" t="str">
        <f aca="false">IF($A258="","",IF(COUNTIF($A$6:$A258,$A258)=1,COUNTIF($A$6:$A$305,$A258)*10000+(9999-ROW()),""))</f>
        <v/>
      </c>
    </row>
    <row r="259" customFormat="false" ht="15" hidden="false" customHeight="false" outlineLevel="0" collapsed="false">
      <c r="A259" s="30"/>
      <c r="B259" s="30"/>
      <c r="D259" s="0" t="str">
        <f aca="false">IF($A259="","",IF(COUNTIF($A$6:$A259,$A259)=1,COUNTIF($A$6:$A$305,$A259)*10000+(9999-ROW()),""))</f>
        <v/>
      </c>
    </row>
    <row r="260" customFormat="false" ht="15" hidden="false" customHeight="false" outlineLevel="0" collapsed="false">
      <c r="A260" s="30"/>
      <c r="B260" s="30"/>
      <c r="D260" s="0" t="str">
        <f aca="false">IF($A260="","",IF(COUNTIF($A$6:$A260,$A260)=1,COUNTIF($A$6:$A$305,$A260)*10000+(9999-ROW()),""))</f>
        <v/>
      </c>
    </row>
    <row r="261" customFormat="false" ht="15" hidden="false" customHeight="false" outlineLevel="0" collapsed="false">
      <c r="A261" s="30"/>
      <c r="B261" s="30"/>
      <c r="D261" s="0" t="str">
        <f aca="false">IF($A261="","",IF(COUNTIF($A$6:$A261,$A261)=1,COUNTIF($A$6:$A$305,$A261)*10000+(9999-ROW()),""))</f>
        <v/>
      </c>
    </row>
    <row r="262" customFormat="false" ht="15" hidden="false" customHeight="false" outlineLevel="0" collapsed="false">
      <c r="A262" s="30"/>
      <c r="B262" s="30"/>
      <c r="D262" s="0" t="str">
        <f aca="false">IF($A262="","",IF(COUNTIF($A$6:$A262,$A262)=1,COUNTIF($A$6:$A$305,$A262)*10000+(9999-ROW()),""))</f>
        <v/>
      </c>
    </row>
    <row r="263" customFormat="false" ht="15" hidden="false" customHeight="false" outlineLevel="0" collapsed="false">
      <c r="A263" s="30"/>
      <c r="B263" s="30"/>
      <c r="D263" s="0" t="str">
        <f aca="false">IF($A263="","",IF(COUNTIF($A$6:$A263,$A263)=1,COUNTIF($A$6:$A$305,$A263)*10000+(9999-ROW()),""))</f>
        <v/>
      </c>
    </row>
    <row r="264" customFormat="false" ht="15" hidden="false" customHeight="false" outlineLevel="0" collapsed="false">
      <c r="A264" s="30"/>
      <c r="B264" s="30"/>
      <c r="D264" s="0" t="str">
        <f aca="false">IF($A264="","",IF(COUNTIF($A$6:$A264,$A264)=1,COUNTIF($A$6:$A$305,$A264)*10000+(9999-ROW()),""))</f>
        <v/>
      </c>
    </row>
    <row r="265" customFormat="false" ht="15" hidden="false" customHeight="false" outlineLevel="0" collapsed="false">
      <c r="A265" s="30"/>
      <c r="B265" s="30"/>
      <c r="D265" s="0" t="str">
        <f aca="false">IF($A265="","",IF(COUNTIF($A$6:$A265,$A265)=1,COUNTIF($A$6:$A$305,$A265)*10000+(9999-ROW()),""))</f>
        <v/>
      </c>
    </row>
    <row r="266" customFormat="false" ht="15" hidden="false" customHeight="false" outlineLevel="0" collapsed="false">
      <c r="A266" s="30"/>
      <c r="B266" s="30"/>
      <c r="D266" s="0" t="str">
        <f aca="false">IF($A266="","",IF(COUNTIF($A$6:$A266,$A266)=1,COUNTIF($A$6:$A$305,$A266)*10000+(9999-ROW()),""))</f>
        <v/>
      </c>
    </row>
    <row r="267" customFormat="false" ht="15" hidden="false" customHeight="false" outlineLevel="0" collapsed="false">
      <c r="A267" s="30"/>
      <c r="B267" s="30"/>
      <c r="D267" s="0" t="str">
        <f aca="false">IF($A267="","",IF(COUNTIF($A$6:$A267,$A267)=1,COUNTIF($A$6:$A$305,$A267)*10000+(9999-ROW()),""))</f>
        <v/>
      </c>
    </row>
    <row r="268" customFormat="false" ht="15" hidden="false" customHeight="false" outlineLevel="0" collapsed="false">
      <c r="A268" s="30"/>
      <c r="B268" s="30"/>
      <c r="D268" s="0" t="str">
        <f aca="false">IF($A268="","",IF(COUNTIF($A$6:$A268,$A268)=1,COUNTIF($A$6:$A$305,$A268)*10000+(9999-ROW()),""))</f>
        <v/>
      </c>
    </row>
    <row r="269" customFormat="false" ht="15" hidden="false" customHeight="false" outlineLevel="0" collapsed="false">
      <c r="A269" s="30"/>
      <c r="B269" s="30"/>
      <c r="D269" s="0" t="str">
        <f aca="false">IF($A269="","",IF(COUNTIF($A$6:$A269,$A269)=1,COUNTIF($A$6:$A$305,$A269)*10000+(9999-ROW()),""))</f>
        <v/>
      </c>
    </row>
    <row r="270" customFormat="false" ht="15" hidden="false" customHeight="false" outlineLevel="0" collapsed="false">
      <c r="A270" s="30"/>
      <c r="B270" s="30"/>
      <c r="D270" s="0" t="str">
        <f aca="false">IF($A270="","",IF(COUNTIF($A$6:$A270,$A270)=1,COUNTIF($A$6:$A$305,$A270)*10000+(9999-ROW()),""))</f>
        <v/>
      </c>
    </row>
    <row r="271" customFormat="false" ht="15" hidden="false" customHeight="false" outlineLevel="0" collapsed="false">
      <c r="A271" s="30"/>
      <c r="B271" s="30"/>
      <c r="D271" s="0" t="str">
        <f aca="false">IF($A271="","",IF(COUNTIF($A$6:$A271,$A271)=1,COUNTIF($A$6:$A$305,$A271)*10000+(9999-ROW()),""))</f>
        <v/>
      </c>
    </row>
    <row r="272" customFormat="false" ht="15" hidden="false" customHeight="false" outlineLevel="0" collapsed="false">
      <c r="A272" s="30"/>
      <c r="B272" s="30"/>
      <c r="D272" s="0" t="str">
        <f aca="false">IF($A272="","",IF(COUNTIF($A$6:$A272,$A272)=1,COUNTIF($A$6:$A$305,$A272)*10000+(9999-ROW()),""))</f>
        <v/>
      </c>
    </row>
    <row r="273" customFormat="false" ht="15" hidden="false" customHeight="false" outlineLevel="0" collapsed="false">
      <c r="A273" s="30"/>
      <c r="B273" s="30"/>
      <c r="D273" s="0" t="str">
        <f aca="false">IF($A273="","",IF(COUNTIF($A$6:$A273,$A273)=1,COUNTIF($A$6:$A$305,$A273)*10000+(9999-ROW()),""))</f>
        <v/>
      </c>
    </row>
    <row r="274" customFormat="false" ht="15" hidden="false" customHeight="false" outlineLevel="0" collapsed="false">
      <c r="A274" s="30"/>
      <c r="B274" s="30"/>
      <c r="D274" s="0" t="str">
        <f aca="false">IF($A274="","",IF(COUNTIF($A$6:$A274,$A274)=1,COUNTIF($A$6:$A$305,$A274)*10000+(9999-ROW()),""))</f>
        <v/>
      </c>
    </row>
    <row r="275" customFormat="false" ht="15" hidden="false" customHeight="false" outlineLevel="0" collapsed="false">
      <c r="A275" s="30"/>
      <c r="B275" s="30"/>
      <c r="D275" s="0" t="str">
        <f aca="false">IF($A275="","",IF(COUNTIF($A$6:$A275,$A275)=1,COUNTIF($A$6:$A$305,$A275)*10000+(9999-ROW()),""))</f>
        <v/>
      </c>
    </row>
    <row r="276" customFormat="false" ht="15" hidden="false" customHeight="false" outlineLevel="0" collapsed="false">
      <c r="A276" s="30"/>
      <c r="B276" s="30"/>
      <c r="D276" s="0" t="str">
        <f aca="false">IF($A276="","",IF(COUNTIF($A$6:$A276,$A276)=1,COUNTIF($A$6:$A$305,$A276)*10000+(9999-ROW()),""))</f>
        <v/>
      </c>
    </row>
    <row r="277" customFormat="false" ht="15" hidden="false" customHeight="false" outlineLevel="0" collapsed="false">
      <c r="A277" s="30"/>
      <c r="B277" s="30"/>
      <c r="D277" s="0" t="str">
        <f aca="false">IF($A277="","",IF(COUNTIF($A$6:$A277,$A277)=1,COUNTIF($A$6:$A$305,$A277)*10000+(9999-ROW()),""))</f>
        <v/>
      </c>
    </row>
    <row r="278" customFormat="false" ht="15" hidden="false" customHeight="false" outlineLevel="0" collapsed="false">
      <c r="A278" s="30"/>
      <c r="B278" s="30"/>
      <c r="D278" s="0" t="str">
        <f aca="false">IF($A278="","",IF(COUNTIF($A$6:$A278,$A278)=1,COUNTIF($A$6:$A$305,$A278)*10000+(9999-ROW()),""))</f>
        <v/>
      </c>
    </row>
    <row r="279" customFormat="false" ht="15" hidden="false" customHeight="false" outlineLevel="0" collapsed="false">
      <c r="A279" s="30"/>
      <c r="B279" s="30"/>
      <c r="D279" s="0" t="str">
        <f aca="false">IF($A279="","",IF(COUNTIF($A$6:$A279,$A279)=1,COUNTIF($A$6:$A$305,$A279)*10000+(9999-ROW()),""))</f>
        <v/>
      </c>
    </row>
    <row r="280" customFormat="false" ht="15" hidden="false" customHeight="false" outlineLevel="0" collapsed="false">
      <c r="A280" s="30"/>
      <c r="B280" s="30"/>
      <c r="D280" s="0" t="str">
        <f aca="false">IF($A280="","",IF(COUNTIF($A$6:$A280,$A280)=1,COUNTIF($A$6:$A$305,$A280)*10000+(9999-ROW()),""))</f>
        <v/>
      </c>
    </row>
    <row r="281" customFormat="false" ht="15" hidden="false" customHeight="false" outlineLevel="0" collapsed="false">
      <c r="A281" s="30"/>
      <c r="B281" s="30"/>
      <c r="D281" s="0" t="str">
        <f aca="false">IF($A281="","",IF(COUNTIF($A$6:$A281,$A281)=1,COUNTIF($A$6:$A$305,$A281)*10000+(9999-ROW()),""))</f>
        <v/>
      </c>
    </row>
    <row r="282" customFormat="false" ht="15" hidden="false" customHeight="false" outlineLevel="0" collapsed="false">
      <c r="A282" s="30"/>
      <c r="B282" s="30"/>
      <c r="D282" s="0" t="str">
        <f aca="false">IF($A282="","",IF(COUNTIF($A$6:$A282,$A282)=1,COUNTIF($A$6:$A$305,$A282)*10000+(9999-ROW()),""))</f>
        <v/>
      </c>
    </row>
    <row r="283" customFormat="false" ht="15" hidden="false" customHeight="false" outlineLevel="0" collapsed="false">
      <c r="A283" s="30"/>
      <c r="B283" s="30"/>
      <c r="D283" s="0" t="str">
        <f aca="false">IF($A283="","",IF(COUNTIF($A$6:$A283,$A283)=1,COUNTIF($A$6:$A$305,$A283)*10000+(9999-ROW()),""))</f>
        <v/>
      </c>
    </row>
    <row r="284" customFormat="false" ht="15" hidden="false" customHeight="false" outlineLevel="0" collapsed="false">
      <c r="A284" s="30"/>
      <c r="B284" s="30"/>
      <c r="D284" s="0" t="str">
        <f aca="false">IF($A284="","",IF(COUNTIF($A$6:$A284,$A284)=1,COUNTIF($A$6:$A$305,$A284)*10000+(9999-ROW()),""))</f>
        <v/>
      </c>
    </row>
    <row r="285" customFormat="false" ht="15" hidden="false" customHeight="false" outlineLevel="0" collapsed="false">
      <c r="A285" s="30"/>
      <c r="B285" s="30"/>
      <c r="D285" s="0" t="str">
        <f aca="false">IF($A285="","",IF(COUNTIF($A$6:$A285,$A285)=1,COUNTIF($A$6:$A$305,$A285)*10000+(9999-ROW()),""))</f>
        <v/>
      </c>
    </row>
    <row r="286" customFormat="false" ht="15" hidden="false" customHeight="false" outlineLevel="0" collapsed="false">
      <c r="A286" s="30"/>
      <c r="B286" s="30"/>
      <c r="D286" s="0" t="str">
        <f aca="false">IF($A286="","",IF(COUNTIF($A$6:$A286,$A286)=1,COUNTIF($A$6:$A$305,$A286)*10000+(9999-ROW()),""))</f>
        <v/>
      </c>
    </row>
    <row r="287" customFormat="false" ht="15" hidden="false" customHeight="false" outlineLevel="0" collapsed="false">
      <c r="A287" s="30"/>
      <c r="B287" s="30"/>
      <c r="D287" s="0" t="str">
        <f aca="false">IF($A287="","",IF(COUNTIF($A$6:$A287,$A287)=1,COUNTIF($A$6:$A$305,$A287)*10000+(9999-ROW()),""))</f>
        <v/>
      </c>
    </row>
    <row r="288" customFormat="false" ht="15" hidden="false" customHeight="false" outlineLevel="0" collapsed="false">
      <c r="A288" s="30"/>
      <c r="B288" s="30"/>
      <c r="D288" s="0" t="str">
        <f aca="false">IF($A288="","",IF(COUNTIF($A$6:$A288,$A288)=1,COUNTIF($A$6:$A$305,$A288)*10000+(9999-ROW()),""))</f>
        <v/>
      </c>
    </row>
    <row r="289" customFormat="false" ht="15" hidden="false" customHeight="false" outlineLevel="0" collapsed="false">
      <c r="A289" s="30"/>
      <c r="B289" s="30"/>
      <c r="D289" s="0" t="str">
        <f aca="false">IF($A289="","",IF(COUNTIF($A$6:$A289,$A289)=1,COUNTIF($A$6:$A$305,$A289)*10000+(9999-ROW()),""))</f>
        <v/>
      </c>
    </row>
    <row r="290" customFormat="false" ht="15" hidden="false" customHeight="false" outlineLevel="0" collapsed="false">
      <c r="A290" s="30"/>
      <c r="B290" s="30"/>
      <c r="D290" s="0" t="str">
        <f aca="false">IF($A290="","",IF(COUNTIF($A$6:$A290,$A290)=1,COUNTIF($A$6:$A$305,$A290)*10000+(9999-ROW()),""))</f>
        <v/>
      </c>
    </row>
    <row r="291" customFormat="false" ht="15" hidden="false" customHeight="false" outlineLevel="0" collapsed="false">
      <c r="A291" s="30"/>
      <c r="B291" s="30"/>
      <c r="D291" s="0" t="str">
        <f aca="false">IF($A291="","",IF(COUNTIF($A$6:$A291,$A291)=1,COUNTIF($A$6:$A$305,$A291)*10000+(9999-ROW()),""))</f>
        <v/>
      </c>
    </row>
    <row r="292" customFormat="false" ht="15" hidden="false" customHeight="false" outlineLevel="0" collapsed="false">
      <c r="A292" s="30"/>
      <c r="B292" s="30"/>
      <c r="D292" s="0" t="str">
        <f aca="false">IF($A292="","",IF(COUNTIF($A$6:$A292,$A292)=1,COUNTIF($A$6:$A$305,$A292)*10000+(9999-ROW()),""))</f>
        <v/>
      </c>
    </row>
    <row r="293" customFormat="false" ht="15" hidden="false" customHeight="false" outlineLevel="0" collapsed="false">
      <c r="A293" s="30"/>
      <c r="B293" s="30"/>
      <c r="D293" s="0" t="str">
        <f aca="false">IF($A293="","",IF(COUNTIF($A$6:$A293,$A293)=1,COUNTIF($A$6:$A$305,$A293)*10000+(9999-ROW()),""))</f>
        <v/>
      </c>
    </row>
    <row r="294" customFormat="false" ht="15" hidden="false" customHeight="false" outlineLevel="0" collapsed="false">
      <c r="A294" s="30"/>
      <c r="B294" s="30"/>
      <c r="D294" s="0" t="str">
        <f aca="false">IF($A294="","",IF(COUNTIF($A$6:$A294,$A294)=1,COUNTIF($A$6:$A$305,$A294)*10000+(9999-ROW()),""))</f>
        <v/>
      </c>
    </row>
    <row r="295" customFormat="false" ht="15" hidden="false" customHeight="false" outlineLevel="0" collapsed="false">
      <c r="A295" s="30"/>
      <c r="B295" s="30"/>
      <c r="D295" s="0" t="str">
        <f aca="false">IF($A295="","",IF(COUNTIF($A$6:$A295,$A295)=1,COUNTIF($A$6:$A$305,$A295)*10000+(9999-ROW()),""))</f>
        <v/>
      </c>
    </row>
    <row r="296" customFormat="false" ht="15" hidden="false" customHeight="false" outlineLevel="0" collapsed="false">
      <c r="A296" s="30"/>
      <c r="B296" s="30"/>
      <c r="D296" s="0" t="str">
        <f aca="false">IF($A296="","",IF(COUNTIF($A$6:$A296,$A296)=1,COUNTIF($A$6:$A$305,$A296)*10000+(9999-ROW()),""))</f>
        <v/>
      </c>
    </row>
    <row r="297" customFormat="false" ht="15" hidden="false" customHeight="false" outlineLevel="0" collapsed="false">
      <c r="A297" s="30"/>
      <c r="B297" s="30"/>
      <c r="D297" s="0" t="str">
        <f aca="false">IF($A297="","",IF(COUNTIF($A$6:$A297,$A297)=1,COUNTIF($A$6:$A$305,$A297)*10000+(9999-ROW()),""))</f>
        <v/>
      </c>
    </row>
    <row r="298" customFormat="false" ht="15" hidden="false" customHeight="false" outlineLevel="0" collapsed="false">
      <c r="A298" s="30"/>
      <c r="B298" s="30"/>
      <c r="D298" s="0" t="str">
        <f aca="false">IF($A298="","",IF(COUNTIF($A$6:$A298,$A298)=1,COUNTIF($A$6:$A$305,$A298)*10000+(9999-ROW()),""))</f>
        <v/>
      </c>
    </row>
    <row r="299" customFormat="false" ht="15" hidden="false" customHeight="false" outlineLevel="0" collapsed="false">
      <c r="A299" s="30"/>
      <c r="B299" s="30"/>
      <c r="D299" s="0" t="str">
        <f aca="false">IF($A299="","",IF(COUNTIF($A$6:$A299,$A299)=1,COUNTIF($A$6:$A$305,$A299)*10000+(9999-ROW()),""))</f>
        <v/>
      </c>
    </row>
    <row r="300" customFormat="false" ht="15" hidden="false" customHeight="false" outlineLevel="0" collapsed="false">
      <c r="A300" s="30"/>
      <c r="B300" s="30"/>
      <c r="D300" s="0" t="str">
        <f aca="false">IF($A300="","",IF(COUNTIF($A$6:$A300,$A300)=1,COUNTIF($A$6:$A$305,$A300)*10000+(9999-ROW()),""))</f>
        <v/>
      </c>
    </row>
    <row r="301" customFormat="false" ht="15" hidden="false" customHeight="false" outlineLevel="0" collapsed="false">
      <c r="A301" s="30"/>
      <c r="B301" s="30"/>
      <c r="D301" s="0" t="str">
        <f aca="false">IF($A301="","",IF(COUNTIF($A$6:$A301,$A301)=1,COUNTIF($A$6:$A$305,$A301)*10000+(9999-ROW()),""))</f>
        <v/>
      </c>
    </row>
    <row r="302" customFormat="false" ht="15" hidden="false" customHeight="false" outlineLevel="0" collapsed="false">
      <c r="A302" s="30"/>
      <c r="B302" s="30"/>
      <c r="D302" s="0" t="str">
        <f aca="false">IF($A302="","",IF(COUNTIF($A$6:$A302,$A302)=1,COUNTIF($A$6:$A$305,$A302)*10000+(9999-ROW()),""))</f>
        <v/>
      </c>
    </row>
    <row r="303" customFormat="false" ht="15" hidden="false" customHeight="false" outlineLevel="0" collapsed="false">
      <c r="A303" s="30"/>
      <c r="B303" s="30"/>
      <c r="D303" s="0" t="str">
        <f aca="false">IF($A303="","",IF(COUNTIF($A$6:$A303,$A303)=1,COUNTIF($A$6:$A$305,$A303)*10000+(9999-ROW()),""))</f>
        <v/>
      </c>
    </row>
    <row r="304" customFormat="false" ht="15" hidden="false" customHeight="false" outlineLevel="0" collapsed="false">
      <c r="A304" s="30"/>
      <c r="B304" s="30"/>
      <c r="D304" s="0" t="str">
        <f aca="false">IF($A304="","",IF(COUNTIF($A$6:$A304,$A304)=1,COUNTIF($A$6:$A$305,$A304)*10000+(9999-ROW()),""))</f>
        <v/>
      </c>
    </row>
    <row r="305" customFormat="false" ht="15" hidden="false" customHeight="false" outlineLevel="0" collapsed="false">
      <c r="A305" s="30"/>
      <c r="B305" s="30"/>
      <c r="D305" s="0" t="str">
        <f aca="false">IF($A305="","",IF(COUNTIF($A$6:$A305,$A305)=1,COUNTIF($A$6:$A$305,$A305)*10000+(9999-ROW()),""))</f>
        <v/>
      </c>
    </row>
  </sheetData>
  <mergeCells count="2">
    <mergeCell ref="A4:B4"/>
    <mergeCell ref="F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8" activeCellId="0" sqref="F8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11.56"/>
    <col collapsed="false" customWidth="true" hidden="false" outlineLevel="0" max="4" min="4" style="0" width="13.56"/>
    <col collapsed="false" customWidth="true" hidden="false" outlineLevel="0" max="7" min="7" style="0" width="12.78"/>
    <col collapsed="false" customWidth="true" hidden="false" outlineLevel="0" max="14" min="14" style="0" width="11.56"/>
    <col collapsed="false" customWidth="true" hidden="false" outlineLevel="0" max="16" min="16" style="0" width="13.33"/>
    <col collapsed="false" customWidth="true" hidden="false" outlineLevel="0" max="18" min="18" style="0" width="8.88"/>
    <col collapsed="false" customWidth="true" hidden="false" outlineLevel="0" max="19" min="19" style="0" width="12.22"/>
    <col collapsed="false" customWidth="true" hidden="false" outlineLevel="0" max="22" min="22" style="0" width="12"/>
  </cols>
  <sheetData>
    <row r="1" customFormat="false" ht="14.25" hidden="false" customHeight="false" outlineLevel="0" collapsed="false">
      <c r="A1" s="3" t="s">
        <v>0</v>
      </c>
      <c r="B1" s="3"/>
    </row>
    <row r="3" customFormat="false" ht="14.25" hidden="false" customHeight="false" outlineLevel="0" collapsed="false">
      <c r="A3" s="7"/>
      <c r="B3" s="5" t="s">
        <v>1</v>
      </c>
      <c r="M3" s="7"/>
      <c r="N3" s="6" t="s">
        <v>2</v>
      </c>
    </row>
    <row r="4" customFormat="false" ht="14.25" hidden="false" customHeight="false" outlineLevel="0" collapsed="false">
      <c r="A4" s="7"/>
      <c r="B4" s="7"/>
      <c r="M4" s="7"/>
      <c r="N4" s="7"/>
    </row>
    <row r="5" customFormat="false" ht="14.25" hidden="false" customHeight="false" outlineLevel="0" collapsed="false">
      <c r="A5" s="33" t="s">
        <v>3</v>
      </c>
      <c r="B5" s="7" t="s">
        <v>4</v>
      </c>
      <c r="M5" s="33" t="s">
        <v>5</v>
      </c>
      <c r="N5" s="7" t="s">
        <v>6</v>
      </c>
    </row>
    <row r="6" customFormat="false" ht="14.25" hidden="false" customHeight="false" outlineLevel="0" collapsed="false">
      <c r="A6" s="33" t="s">
        <v>7</v>
      </c>
      <c r="B6" s="7" t="s">
        <v>10</v>
      </c>
      <c r="M6" s="33" t="s">
        <v>9</v>
      </c>
      <c r="N6" s="7" t="s">
        <v>8</v>
      </c>
    </row>
    <row r="7" customFormat="false" ht="14.25" hidden="false" customHeight="false" outlineLevel="0" collapsed="false">
      <c r="A7" s="33" t="s">
        <v>11</v>
      </c>
      <c r="B7" s="7" t="s">
        <v>12</v>
      </c>
      <c r="M7" s="33" t="s">
        <v>13</v>
      </c>
      <c r="N7" s="7" t="s">
        <v>14</v>
      </c>
    </row>
    <row r="8" customFormat="false" ht="14.25" hidden="false" customHeight="false" outlineLevel="0" collapsed="false">
      <c r="A8" s="33" t="s">
        <v>15</v>
      </c>
      <c r="B8" s="7" t="s">
        <v>18</v>
      </c>
      <c r="M8" s="33" t="s">
        <v>17</v>
      </c>
      <c r="N8" s="7" t="s">
        <v>16</v>
      </c>
    </row>
    <row r="9" customFormat="false" ht="14.25" hidden="false" customHeight="false" outlineLevel="0" collapsed="false">
      <c r="A9" s="33" t="s">
        <v>19</v>
      </c>
      <c r="B9" s="7" t="s">
        <v>20</v>
      </c>
      <c r="M9" s="33" t="s">
        <v>21</v>
      </c>
      <c r="N9" s="7" t="s">
        <v>22</v>
      </c>
    </row>
    <row r="10" customFormat="false" ht="14.25" hidden="false" customHeight="false" outlineLevel="0" collapsed="false">
      <c r="A10" s="33" t="s">
        <v>23</v>
      </c>
      <c r="B10" s="7" t="s">
        <v>26</v>
      </c>
      <c r="M10" s="33" t="s">
        <v>25</v>
      </c>
      <c r="N10" s="7" t="s">
        <v>24</v>
      </c>
    </row>
    <row r="12" customFormat="false" ht="14.25" hidden="false" customHeight="false" outlineLevel="0" collapsed="false">
      <c r="B12" s="9" t="n">
        <v>0.4375</v>
      </c>
      <c r="C12" s="10" t="s">
        <v>111</v>
      </c>
      <c r="E12" s="9" t="n">
        <v>0.458333333333333</v>
      </c>
      <c r="F12" s="10" t="s">
        <v>28</v>
      </c>
      <c r="H12" s="9" t="n">
        <v>0.479166666666667</v>
      </c>
      <c r="I12" s="10" t="s">
        <v>112</v>
      </c>
      <c r="N12" s="9" t="n">
        <v>0.4375</v>
      </c>
      <c r="O12" s="10" t="s">
        <v>113</v>
      </c>
      <c r="Q12" s="9" t="n">
        <v>0.458333333333333</v>
      </c>
      <c r="R12" s="10" t="s">
        <v>114</v>
      </c>
      <c r="T12" s="9" t="n">
        <v>0.479166666666667</v>
      </c>
      <c r="U12" s="10" t="s">
        <v>115</v>
      </c>
    </row>
    <row r="13" customFormat="false" ht="14.25" hidden="false" customHeight="false" outlineLevel="0" collapsed="false">
      <c r="B13" s="9" t="n">
        <v>0.4375</v>
      </c>
      <c r="C13" s="10" t="s">
        <v>116</v>
      </c>
      <c r="E13" s="9" t="n">
        <v>0.458333333333333</v>
      </c>
      <c r="F13" s="10" t="s">
        <v>52</v>
      </c>
      <c r="H13" s="9" t="n">
        <v>0.479166666666667</v>
      </c>
      <c r="I13" s="10" t="s">
        <v>117</v>
      </c>
      <c r="N13" s="9" t="n">
        <v>0.4375</v>
      </c>
      <c r="O13" s="10" t="s">
        <v>118</v>
      </c>
      <c r="Q13" s="9" t="n">
        <v>0.458333333333333</v>
      </c>
      <c r="R13" s="10" t="s">
        <v>119</v>
      </c>
      <c r="T13" s="9" t="n">
        <v>0.479166666666667</v>
      </c>
      <c r="U13" s="10" t="s">
        <v>120</v>
      </c>
    </row>
    <row r="14" customFormat="false" ht="14.25" hidden="false" customHeight="false" outlineLevel="0" collapsed="false">
      <c r="B14" s="3"/>
      <c r="E14" s="3"/>
      <c r="H14" s="3"/>
      <c r="N14" s="3"/>
      <c r="Q14" s="3"/>
      <c r="T14" s="3"/>
    </row>
    <row r="15" customFormat="false" ht="14.25" hidden="false" customHeight="false" outlineLevel="0" collapsed="false">
      <c r="B15" s="9" t="n">
        <v>0.444444444444444</v>
      </c>
      <c r="C15" s="10" t="s">
        <v>39</v>
      </c>
      <c r="E15" s="9" t="n">
        <v>0.465277777777778</v>
      </c>
      <c r="F15" s="10" t="s">
        <v>121</v>
      </c>
      <c r="H15" s="9" t="n">
        <v>0.486111111111111</v>
      </c>
      <c r="I15" s="10" t="s">
        <v>122</v>
      </c>
      <c r="N15" s="9" t="n">
        <v>0.444444444444444</v>
      </c>
      <c r="O15" s="10" t="s">
        <v>123</v>
      </c>
      <c r="Q15" s="9" t="n">
        <v>0.465277777777778</v>
      </c>
      <c r="R15" s="10" t="s">
        <v>43</v>
      </c>
      <c r="T15" s="9" t="n">
        <v>0.486111111111111</v>
      </c>
      <c r="U15" s="10" t="s">
        <v>124</v>
      </c>
    </row>
    <row r="16" customFormat="false" ht="14.25" hidden="false" customHeight="false" outlineLevel="0" collapsed="false">
      <c r="B16" s="9" t="n">
        <v>0.444444444444444</v>
      </c>
      <c r="C16" s="10" t="s">
        <v>48</v>
      </c>
      <c r="E16" s="9" t="n">
        <v>0.465277777777778</v>
      </c>
      <c r="F16" s="10" t="s">
        <v>125</v>
      </c>
      <c r="H16" s="9"/>
      <c r="N16" s="9" t="n">
        <v>0.444444444444444</v>
      </c>
      <c r="O16" s="10" t="s">
        <v>47</v>
      </c>
      <c r="Q16" s="9" t="n">
        <v>0.465277777777778</v>
      </c>
      <c r="R16" s="10" t="s">
        <v>45</v>
      </c>
      <c r="T16" s="3"/>
      <c r="W16" s="11"/>
    </row>
    <row r="17" customFormat="false" ht="14.25" hidden="false" customHeight="false" outlineLevel="0" collapsed="false">
      <c r="B17" s="3"/>
      <c r="E17" s="3"/>
      <c r="K17" s="11"/>
      <c r="N17" s="3"/>
      <c r="Q17" s="3"/>
    </row>
    <row r="18" customFormat="false" ht="14.25" hidden="false" customHeight="false" outlineLevel="0" collapsed="false">
      <c r="B18" s="9" t="n">
        <v>0.451388888888889</v>
      </c>
      <c r="C18" s="10" t="s">
        <v>49</v>
      </c>
      <c r="E18" s="9" t="n">
        <v>0.472222222222222</v>
      </c>
      <c r="F18" s="10" t="s">
        <v>126</v>
      </c>
      <c r="N18" s="9" t="n">
        <v>0.451388888888889</v>
      </c>
      <c r="O18" s="10" t="s">
        <v>127</v>
      </c>
      <c r="Q18" s="9" t="n">
        <v>0.472222222222222</v>
      </c>
      <c r="R18" s="10" t="s">
        <v>34</v>
      </c>
    </row>
    <row r="19" customFormat="false" ht="14.25" hidden="false" customHeight="false" outlineLevel="0" collapsed="false">
      <c r="B19" s="9" t="n">
        <v>0.451388888888889</v>
      </c>
      <c r="C19" s="10" t="s">
        <v>55</v>
      </c>
      <c r="E19" s="9" t="n">
        <v>0.472222222222222</v>
      </c>
      <c r="F19" s="10" t="s">
        <v>128</v>
      </c>
      <c r="N19" s="9" t="n">
        <v>0.451388888888889</v>
      </c>
      <c r="O19" s="10" t="s">
        <v>53</v>
      </c>
      <c r="Q19" s="9" t="n">
        <v>0.472222222222222</v>
      </c>
      <c r="R19" s="10" t="s">
        <v>56</v>
      </c>
    </row>
    <row r="20" customFormat="false" ht="14.2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customFormat="false" ht="14.2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customFormat="false" ht="14.25" hidden="false" customHeight="false" outlineLevel="0" collapsed="false">
      <c r="B22" s="9" t="n">
        <v>0.493055555555556</v>
      </c>
      <c r="C22" s="10" t="s">
        <v>129</v>
      </c>
      <c r="E22" s="9" t="n">
        <v>0.555555555555556</v>
      </c>
      <c r="F22" s="10" t="s">
        <v>58</v>
      </c>
      <c r="H22" s="9" t="n">
        <v>0.576388888888889</v>
      </c>
      <c r="I22" s="10" t="s">
        <v>112</v>
      </c>
      <c r="N22" s="9" t="n">
        <v>0.493055555555556</v>
      </c>
      <c r="O22" s="10" t="s">
        <v>130</v>
      </c>
      <c r="Q22" s="9" t="n">
        <v>0.555555555555556</v>
      </c>
      <c r="R22" s="10" t="s">
        <v>131</v>
      </c>
      <c r="T22" s="9" t="n">
        <v>0.576388888888889</v>
      </c>
      <c r="U22" s="10" t="s">
        <v>132</v>
      </c>
    </row>
    <row r="23" customFormat="false" ht="14.25" hidden="false" customHeight="false" outlineLevel="0" collapsed="false">
      <c r="B23" s="9" t="n">
        <v>0.493055555555556</v>
      </c>
      <c r="C23" s="10" t="s">
        <v>133</v>
      </c>
      <c r="E23" s="9" t="n">
        <v>0.555555555555556</v>
      </c>
      <c r="F23" s="10" t="s">
        <v>81</v>
      </c>
      <c r="H23" s="9" t="n">
        <v>0.576388888888889</v>
      </c>
      <c r="I23" s="10" t="s">
        <v>134</v>
      </c>
      <c r="N23" s="9" t="n">
        <v>0.493055555555556</v>
      </c>
      <c r="O23" s="10" t="s">
        <v>135</v>
      </c>
      <c r="Q23" s="9" t="n">
        <v>0.555555555555556</v>
      </c>
      <c r="R23" s="10" t="s">
        <v>136</v>
      </c>
      <c r="T23" s="9" t="n">
        <v>0.576388888888889</v>
      </c>
      <c r="U23" s="10" t="s">
        <v>137</v>
      </c>
    </row>
    <row r="24" customFormat="false" ht="14.25" hidden="false" customHeight="false" outlineLevel="0" collapsed="false">
      <c r="B24" s="3"/>
      <c r="E24" s="3"/>
      <c r="H24" s="3"/>
      <c r="N24" s="3"/>
      <c r="Q24" s="3"/>
      <c r="T24" s="3"/>
    </row>
    <row r="25" customFormat="false" ht="14.25" hidden="false" customHeight="false" outlineLevel="0" collapsed="false">
      <c r="B25" s="9" t="n">
        <v>0.541666666666667</v>
      </c>
      <c r="C25" s="10" t="s">
        <v>68</v>
      </c>
      <c r="E25" s="9" t="n">
        <v>0.5625</v>
      </c>
      <c r="F25" s="10" t="s">
        <v>138</v>
      </c>
      <c r="H25" s="9" t="n">
        <v>0.583333333333333</v>
      </c>
      <c r="I25" s="10" t="s">
        <v>139</v>
      </c>
      <c r="N25" s="9" t="n">
        <v>0.541666666666667</v>
      </c>
      <c r="O25" s="10" t="s">
        <v>140</v>
      </c>
      <c r="Q25" s="9" t="n">
        <v>0.5625</v>
      </c>
      <c r="R25" s="10" t="s">
        <v>72</v>
      </c>
      <c r="T25" s="9" t="n">
        <v>0.583333333333333</v>
      </c>
      <c r="U25" s="10" t="s">
        <v>141</v>
      </c>
    </row>
    <row r="26" customFormat="false" ht="14.25" hidden="false" customHeight="false" outlineLevel="0" collapsed="false">
      <c r="B26" s="9" t="n">
        <v>0.541666666666667</v>
      </c>
      <c r="C26" s="10" t="s">
        <v>77</v>
      </c>
      <c r="E26" s="9" t="n">
        <v>0.5625</v>
      </c>
      <c r="F26" s="10" t="s">
        <v>142</v>
      </c>
      <c r="N26" s="9" t="n">
        <v>0.541666666666667</v>
      </c>
      <c r="O26" s="10" t="s">
        <v>76</v>
      </c>
      <c r="Q26" s="9" t="n">
        <v>0.5625</v>
      </c>
      <c r="R26" s="10" t="s">
        <v>74</v>
      </c>
    </row>
    <row r="27" customFormat="false" ht="14.25" hidden="false" customHeight="false" outlineLevel="0" collapsed="false">
      <c r="B27" s="3"/>
      <c r="E27" s="3"/>
      <c r="N27" s="3"/>
      <c r="Q27" s="3"/>
    </row>
    <row r="28" customFormat="false" ht="14.25" hidden="false" customHeight="false" outlineLevel="0" collapsed="false">
      <c r="B28" s="9" t="n">
        <v>0.548611111111111</v>
      </c>
      <c r="C28" s="10" t="s">
        <v>78</v>
      </c>
      <c r="E28" s="9" t="n">
        <v>0.569444444444444</v>
      </c>
      <c r="F28" s="10" t="s">
        <v>143</v>
      </c>
      <c r="N28" s="9" t="n">
        <v>0.548611111111111</v>
      </c>
      <c r="O28" s="10" t="s">
        <v>144</v>
      </c>
      <c r="Q28" s="9" t="n">
        <v>0.569444444444444</v>
      </c>
      <c r="R28" s="10" t="s">
        <v>63</v>
      </c>
    </row>
    <row r="29" customFormat="false" ht="14.25" hidden="false" customHeight="false" outlineLevel="0" collapsed="false">
      <c r="B29" s="9" t="n">
        <v>0.548611111111111</v>
      </c>
      <c r="C29" s="10" t="s">
        <v>83</v>
      </c>
      <c r="E29" s="9" t="n">
        <v>0.569444444444444</v>
      </c>
      <c r="F29" s="10" t="s">
        <v>128</v>
      </c>
      <c r="N29" s="9" t="n">
        <v>0.548611111111111</v>
      </c>
      <c r="O29" s="10" t="s">
        <v>82</v>
      </c>
      <c r="Q29" s="9" t="n">
        <v>0.569444444444444</v>
      </c>
      <c r="R29" s="10" t="s">
        <v>84</v>
      </c>
    </row>
    <row r="31" customFormat="false" ht="14.25" hidden="false" customHeight="false" outlineLevel="0" collapsed="false">
      <c r="E31" s="3"/>
    </row>
    <row r="32" customFormat="false" ht="14.25" hidden="false" customHeight="false" outlineLevel="0" collapsed="false">
      <c r="E3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54F"/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4" t="s">
        <v>145</v>
      </c>
    </row>
    <row r="2" customFormat="false" ht="15" hidden="false" customHeight="false" outlineLevel="0" collapsed="false">
      <c r="A2" s="15" t="s">
        <v>86</v>
      </c>
    </row>
    <row r="4" customFormat="false" ht="15" hidden="false" customHeight="false" outlineLevel="0" collapsed="false">
      <c r="A4" s="16" t="s">
        <v>87</v>
      </c>
      <c r="B4" s="16" t="s">
        <v>88</v>
      </c>
      <c r="C4" s="16" t="s">
        <v>89</v>
      </c>
      <c r="D4" s="16" t="s">
        <v>90</v>
      </c>
      <c r="E4" s="16" t="s">
        <v>91</v>
      </c>
      <c r="F4" s="16" t="s">
        <v>92</v>
      </c>
    </row>
    <row r="5" customFormat="false" ht="15" hidden="false" customHeight="false" outlineLevel="0" collapsed="false">
      <c r="A5" s="17" t="s">
        <v>1</v>
      </c>
      <c r="B5" s="18" t="n">
        <v>0.4375</v>
      </c>
      <c r="C5" s="19" t="s">
        <v>4</v>
      </c>
      <c r="D5" s="20"/>
      <c r="E5" s="20"/>
      <c r="F5" s="19" t="s">
        <v>10</v>
      </c>
    </row>
    <row r="6" customFormat="false" ht="15" hidden="false" customHeight="false" outlineLevel="0" collapsed="false">
      <c r="A6" s="17" t="s">
        <v>1</v>
      </c>
      <c r="B6" s="18" t="n">
        <v>0.4375</v>
      </c>
      <c r="C6" s="19" t="s">
        <v>12</v>
      </c>
      <c r="D6" s="20"/>
      <c r="E6" s="20"/>
      <c r="F6" s="19" t="s">
        <v>18</v>
      </c>
    </row>
    <row r="7" customFormat="false" ht="15" hidden="false" customHeight="false" outlineLevel="0" collapsed="false">
      <c r="A7" s="17" t="s">
        <v>1</v>
      </c>
      <c r="B7" s="18" t="n">
        <v>0.444444444444444</v>
      </c>
      <c r="C7" s="19" t="s">
        <v>4</v>
      </c>
      <c r="D7" s="20"/>
      <c r="E7" s="20"/>
      <c r="F7" s="19" t="s">
        <v>20</v>
      </c>
    </row>
    <row r="8" customFormat="false" ht="15" hidden="false" customHeight="false" outlineLevel="0" collapsed="false">
      <c r="A8" s="17" t="s">
        <v>1</v>
      </c>
      <c r="B8" s="18" t="n">
        <v>0.444444444444444</v>
      </c>
      <c r="C8" s="19" t="s">
        <v>10</v>
      </c>
      <c r="D8" s="20"/>
      <c r="E8" s="20"/>
      <c r="F8" s="19" t="s">
        <v>26</v>
      </c>
    </row>
    <row r="9" customFormat="false" ht="15" hidden="false" customHeight="false" outlineLevel="0" collapsed="false">
      <c r="A9" s="17" t="s">
        <v>1</v>
      </c>
      <c r="B9" s="18" t="n">
        <v>0.451388888888889</v>
      </c>
      <c r="C9" s="19" t="s">
        <v>12</v>
      </c>
      <c r="D9" s="20"/>
      <c r="E9" s="20"/>
      <c r="F9" s="19" t="s">
        <v>20</v>
      </c>
    </row>
    <row r="10" customFormat="false" ht="15" hidden="false" customHeight="false" outlineLevel="0" collapsed="false">
      <c r="A10" s="17" t="s">
        <v>1</v>
      </c>
      <c r="B10" s="18" t="n">
        <v>0.451388888888889</v>
      </c>
      <c r="C10" s="19" t="s">
        <v>18</v>
      </c>
      <c r="D10" s="20"/>
      <c r="E10" s="20"/>
      <c r="F10" s="19" t="s">
        <v>26</v>
      </c>
    </row>
    <row r="11" customFormat="false" ht="15" hidden="false" customHeight="false" outlineLevel="0" collapsed="false">
      <c r="A11" s="17" t="s">
        <v>1</v>
      </c>
      <c r="B11" s="18" t="n">
        <v>0.458333333333333</v>
      </c>
      <c r="C11" s="19" t="s">
        <v>4</v>
      </c>
      <c r="D11" s="20"/>
      <c r="E11" s="20"/>
      <c r="F11" s="19" t="s">
        <v>12</v>
      </c>
    </row>
    <row r="12" customFormat="false" ht="15" hidden="false" customHeight="false" outlineLevel="0" collapsed="false">
      <c r="A12" s="17" t="s">
        <v>1</v>
      </c>
      <c r="B12" s="18" t="n">
        <v>0.458333333333333</v>
      </c>
      <c r="C12" s="19" t="s">
        <v>10</v>
      </c>
      <c r="D12" s="20"/>
      <c r="E12" s="20"/>
      <c r="F12" s="19" t="s">
        <v>18</v>
      </c>
    </row>
    <row r="13" customFormat="false" ht="15" hidden="false" customHeight="false" outlineLevel="0" collapsed="false">
      <c r="A13" s="17" t="s">
        <v>1</v>
      </c>
      <c r="B13" s="18" t="n">
        <v>0.465277777777778</v>
      </c>
      <c r="C13" s="19" t="s">
        <v>4</v>
      </c>
      <c r="D13" s="20"/>
      <c r="E13" s="20"/>
      <c r="F13" s="19" t="s">
        <v>26</v>
      </c>
    </row>
    <row r="14" customFormat="false" ht="15" hidden="false" customHeight="false" outlineLevel="0" collapsed="false">
      <c r="A14" s="17" t="s">
        <v>1</v>
      </c>
      <c r="B14" s="18" t="n">
        <v>0.465277777777778</v>
      </c>
      <c r="C14" s="19" t="s">
        <v>10</v>
      </c>
      <c r="D14" s="20"/>
      <c r="E14" s="20"/>
      <c r="F14" s="19" t="s">
        <v>20</v>
      </c>
    </row>
    <row r="15" customFormat="false" ht="15" hidden="false" customHeight="false" outlineLevel="0" collapsed="false">
      <c r="A15" s="17" t="s">
        <v>1</v>
      </c>
      <c r="B15" s="18" t="n">
        <v>0.472222222222222</v>
      </c>
      <c r="C15" s="19" t="s">
        <v>12</v>
      </c>
      <c r="D15" s="20"/>
      <c r="E15" s="20"/>
      <c r="F15" s="19" t="s">
        <v>26</v>
      </c>
    </row>
    <row r="16" customFormat="false" ht="15" hidden="false" customHeight="false" outlineLevel="0" collapsed="false">
      <c r="A16" s="17" t="s">
        <v>1</v>
      </c>
      <c r="B16" s="18" t="n">
        <v>0.472222222222222</v>
      </c>
      <c r="C16" s="19" t="s">
        <v>18</v>
      </c>
      <c r="D16" s="20"/>
      <c r="E16" s="20"/>
      <c r="F16" s="19" t="s">
        <v>20</v>
      </c>
    </row>
    <row r="17" customFormat="false" ht="15" hidden="false" customHeight="false" outlineLevel="0" collapsed="false">
      <c r="A17" s="17" t="s">
        <v>1</v>
      </c>
      <c r="B17" s="18" t="n">
        <v>0.479166666666667</v>
      </c>
      <c r="C17" s="19" t="s">
        <v>4</v>
      </c>
      <c r="D17" s="20"/>
      <c r="E17" s="20"/>
      <c r="F17" s="19" t="s">
        <v>18</v>
      </c>
    </row>
    <row r="18" customFormat="false" ht="15" hidden="false" customHeight="false" outlineLevel="0" collapsed="false">
      <c r="A18" s="17" t="s">
        <v>1</v>
      </c>
      <c r="B18" s="18" t="n">
        <v>0.479166666666667</v>
      </c>
      <c r="C18" s="19" t="s">
        <v>10</v>
      </c>
      <c r="D18" s="20"/>
      <c r="E18" s="20"/>
      <c r="F18" s="19" t="s">
        <v>12</v>
      </c>
    </row>
    <row r="19" customFormat="false" ht="15" hidden="false" customHeight="false" outlineLevel="0" collapsed="false">
      <c r="A19" s="17" t="s">
        <v>1</v>
      </c>
      <c r="B19" s="18" t="n">
        <v>0.486111111111111</v>
      </c>
      <c r="C19" s="19" t="s">
        <v>20</v>
      </c>
      <c r="D19" s="20"/>
      <c r="E19" s="20"/>
      <c r="F19" s="19" t="s">
        <v>26</v>
      </c>
    </row>
    <row r="20" customFormat="false" ht="15" hidden="false" customHeight="false" outlineLevel="0" collapsed="false">
      <c r="A20" s="17" t="s">
        <v>1</v>
      </c>
      <c r="B20" s="18" t="n">
        <v>0.493055555555556</v>
      </c>
      <c r="C20" s="19" t="s">
        <v>10</v>
      </c>
      <c r="D20" s="20"/>
      <c r="E20" s="20"/>
      <c r="F20" s="19" t="s">
        <v>4</v>
      </c>
    </row>
    <row r="21" customFormat="false" ht="15" hidden="false" customHeight="false" outlineLevel="0" collapsed="false">
      <c r="A21" s="17" t="s">
        <v>1</v>
      </c>
      <c r="B21" s="18" t="n">
        <v>0.493055555555556</v>
      </c>
      <c r="C21" s="19" t="s">
        <v>18</v>
      </c>
      <c r="D21" s="20"/>
      <c r="E21" s="20"/>
      <c r="F21" s="19" t="s">
        <v>12</v>
      </c>
    </row>
    <row r="22" customFormat="false" ht="15" hidden="false" customHeight="false" outlineLevel="0" collapsed="false">
      <c r="A22" s="17" t="s">
        <v>1</v>
      </c>
      <c r="B22" s="18" t="n">
        <v>0.541666666666667</v>
      </c>
      <c r="C22" s="19" t="s">
        <v>20</v>
      </c>
      <c r="D22" s="20"/>
      <c r="E22" s="20"/>
      <c r="F22" s="19" t="s">
        <v>4</v>
      </c>
    </row>
    <row r="23" customFormat="false" ht="15" hidden="false" customHeight="false" outlineLevel="0" collapsed="false">
      <c r="A23" s="17" t="s">
        <v>1</v>
      </c>
      <c r="B23" s="18" t="n">
        <v>0.541666666666667</v>
      </c>
      <c r="C23" s="19" t="s">
        <v>26</v>
      </c>
      <c r="D23" s="20"/>
      <c r="E23" s="20"/>
      <c r="F23" s="19" t="s">
        <v>10</v>
      </c>
    </row>
    <row r="24" customFormat="false" ht="15" hidden="false" customHeight="false" outlineLevel="0" collapsed="false">
      <c r="A24" s="17" t="s">
        <v>1</v>
      </c>
      <c r="B24" s="18" t="n">
        <v>0.548611111111111</v>
      </c>
      <c r="C24" s="19" t="s">
        <v>20</v>
      </c>
      <c r="D24" s="20"/>
      <c r="E24" s="20"/>
      <c r="F24" s="19" t="s">
        <v>12</v>
      </c>
    </row>
    <row r="25" customFormat="false" ht="15" hidden="false" customHeight="false" outlineLevel="0" collapsed="false">
      <c r="A25" s="17" t="s">
        <v>1</v>
      </c>
      <c r="B25" s="18" t="n">
        <v>0.548611111111111</v>
      </c>
      <c r="C25" s="19" t="s">
        <v>26</v>
      </c>
      <c r="D25" s="20"/>
      <c r="E25" s="20"/>
      <c r="F25" s="19" t="s">
        <v>18</v>
      </c>
    </row>
    <row r="26" customFormat="false" ht="15" hidden="false" customHeight="false" outlineLevel="0" collapsed="false">
      <c r="A26" s="17" t="s">
        <v>1</v>
      </c>
      <c r="B26" s="18" t="n">
        <v>0.555555555555556</v>
      </c>
      <c r="C26" s="19" t="s">
        <v>12</v>
      </c>
      <c r="D26" s="20"/>
      <c r="E26" s="20"/>
      <c r="F26" s="19" t="s">
        <v>4</v>
      </c>
    </row>
    <row r="27" customFormat="false" ht="15" hidden="false" customHeight="false" outlineLevel="0" collapsed="false">
      <c r="A27" s="17" t="s">
        <v>1</v>
      </c>
      <c r="B27" s="18" t="n">
        <v>0.555555555555556</v>
      </c>
      <c r="C27" s="19" t="s">
        <v>18</v>
      </c>
      <c r="D27" s="20"/>
      <c r="E27" s="20"/>
      <c r="F27" s="19" t="s">
        <v>10</v>
      </c>
    </row>
    <row r="28" customFormat="false" ht="15" hidden="false" customHeight="false" outlineLevel="0" collapsed="false">
      <c r="A28" s="17" t="s">
        <v>1</v>
      </c>
      <c r="B28" s="18" t="n">
        <v>0.5625</v>
      </c>
      <c r="C28" s="19" t="s">
        <v>26</v>
      </c>
      <c r="D28" s="20"/>
      <c r="E28" s="20"/>
      <c r="F28" s="19" t="s">
        <v>4</v>
      </c>
    </row>
    <row r="29" customFormat="false" ht="15" hidden="false" customHeight="false" outlineLevel="0" collapsed="false">
      <c r="A29" s="17" t="s">
        <v>1</v>
      </c>
      <c r="B29" s="18" t="n">
        <v>0.5625</v>
      </c>
      <c r="C29" s="19" t="s">
        <v>20</v>
      </c>
      <c r="D29" s="20"/>
      <c r="E29" s="20"/>
      <c r="F29" s="19" t="s">
        <v>10</v>
      </c>
    </row>
    <row r="30" customFormat="false" ht="15" hidden="false" customHeight="false" outlineLevel="0" collapsed="false">
      <c r="A30" s="17" t="s">
        <v>1</v>
      </c>
      <c r="B30" s="18" t="n">
        <v>0.569444444444444</v>
      </c>
      <c r="C30" s="19" t="s">
        <v>26</v>
      </c>
      <c r="D30" s="20"/>
      <c r="E30" s="20"/>
      <c r="F30" s="19" t="s">
        <v>12</v>
      </c>
    </row>
    <row r="31" customFormat="false" ht="15" hidden="false" customHeight="false" outlineLevel="0" collapsed="false">
      <c r="A31" s="17" t="s">
        <v>1</v>
      </c>
      <c r="B31" s="18" t="n">
        <v>0.569444444444444</v>
      </c>
      <c r="C31" s="19" t="s">
        <v>18</v>
      </c>
      <c r="D31" s="20"/>
      <c r="E31" s="20"/>
      <c r="F31" s="19" t="s">
        <v>20</v>
      </c>
    </row>
    <row r="32" customFormat="false" ht="15" hidden="false" customHeight="false" outlineLevel="0" collapsed="false">
      <c r="A32" s="17" t="s">
        <v>1</v>
      </c>
      <c r="B32" s="18" t="n">
        <v>0.576388888888889</v>
      </c>
      <c r="C32" s="19" t="s">
        <v>4</v>
      </c>
      <c r="D32" s="20"/>
      <c r="E32" s="20"/>
      <c r="F32" s="19" t="s">
        <v>18</v>
      </c>
    </row>
    <row r="33" customFormat="false" ht="15" hidden="false" customHeight="false" outlineLevel="0" collapsed="false">
      <c r="A33" s="17" t="s">
        <v>1</v>
      </c>
      <c r="B33" s="18" t="n">
        <v>0.576388888888889</v>
      </c>
      <c r="C33" s="19" t="s">
        <v>12</v>
      </c>
      <c r="D33" s="20"/>
      <c r="E33" s="20"/>
      <c r="F33" s="19" t="s">
        <v>10</v>
      </c>
    </row>
    <row r="34" customFormat="false" ht="15" hidden="false" customHeight="false" outlineLevel="0" collapsed="false">
      <c r="A34" s="17" t="s">
        <v>1</v>
      </c>
      <c r="B34" s="18" t="n">
        <v>0.583333333333333</v>
      </c>
      <c r="C34" s="19" t="s">
        <v>26</v>
      </c>
      <c r="D34" s="20"/>
      <c r="E34" s="20"/>
      <c r="F34" s="19" t="s">
        <v>20</v>
      </c>
    </row>
    <row r="35" customFormat="false" ht="15" hidden="false" customHeight="false" outlineLevel="0" collapsed="false">
      <c r="A35" s="21" t="s">
        <v>2</v>
      </c>
      <c r="B35" s="22" t="n">
        <v>0.4375</v>
      </c>
      <c r="C35" s="23" t="s">
        <v>6</v>
      </c>
      <c r="D35" s="20"/>
      <c r="E35" s="20"/>
      <c r="F35" s="23" t="s">
        <v>24</v>
      </c>
    </row>
    <row r="36" customFormat="false" ht="15" hidden="false" customHeight="false" outlineLevel="0" collapsed="false">
      <c r="A36" s="21" t="s">
        <v>2</v>
      </c>
      <c r="B36" s="22" t="n">
        <v>0.4375</v>
      </c>
      <c r="C36" s="23" t="s">
        <v>8</v>
      </c>
      <c r="D36" s="20"/>
      <c r="E36" s="20"/>
      <c r="F36" s="23" t="s">
        <v>22</v>
      </c>
    </row>
    <row r="37" customFormat="false" ht="15" hidden="false" customHeight="false" outlineLevel="0" collapsed="false">
      <c r="A37" s="21" t="s">
        <v>2</v>
      </c>
      <c r="B37" s="22" t="n">
        <v>0.444444444444444</v>
      </c>
      <c r="C37" s="23" t="s">
        <v>14</v>
      </c>
      <c r="D37" s="20"/>
      <c r="E37" s="20"/>
      <c r="F37" s="23" t="s">
        <v>16</v>
      </c>
    </row>
    <row r="38" customFormat="false" ht="15" hidden="false" customHeight="false" outlineLevel="0" collapsed="false">
      <c r="A38" s="21" t="s">
        <v>2</v>
      </c>
      <c r="B38" s="22" t="n">
        <v>0.444444444444444</v>
      </c>
      <c r="C38" s="23" t="s">
        <v>6</v>
      </c>
      <c r="D38" s="20"/>
      <c r="E38" s="20"/>
      <c r="F38" s="23" t="s">
        <v>22</v>
      </c>
    </row>
    <row r="39" customFormat="false" ht="15" hidden="false" customHeight="false" outlineLevel="0" collapsed="false">
      <c r="A39" s="21" t="s">
        <v>2</v>
      </c>
      <c r="B39" s="22" t="n">
        <v>0.451388888888889</v>
      </c>
      <c r="C39" s="23" t="s">
        <v>8</v>
      </c>
      <c r="D39" s="20"/>
      <c r="E39" s="20"/>
      <c r="F39" s="23" t="s">
        <v>14</v>
      </c>
    </row>
    <row r="40" customFormat="false" ht="15" hidden="false" customHeight="false" outlineLevel="0" collapsed="false">
      <c r="A40" s="21" t="s">
        <v>2</v>
      </c>
      <c r="B40" s="22" t="n">
        <v>0.451388888888889</v>
      </c>
      <c r="C40" s="23" t="s">
        <v>16</v>
      </c>
      <c r="D40" s="20"/>
      <c r="E40" s="20"/>
      <c r="F40" s="23" t="s">
        <v>24</v>
      </c>
    </row>
    <row r="41" customFormat="false" ht="15" hidden="false" customHeight="false" outlineLevel="0" collapsed="false">
      <c r="A41" s="21" t="s">
        <v>2</v>
      </c>
      <c r="B41" s="22" t="n">
        <v>0.458333333333333</v>
      </c>
      <c r="C41" s="23" t="s">
        <v>6</v>
      </c>
      <c r="D41" s="20"/>
      <c r="E41" s="20"/>
      <c r="F41" s="23" t="s">
        <v>16</v>
      </c>
    </row>
    <row r="42" customFormat="false" ht="15" hidden="false" customHeight="false" outlineLevel="0" collapsed="false">
      <c r="A42" s="21" t="s">
        <v>2</v>
      </c>
      <c r="B42" s="22" t="n">
        <v>0.458333333333333</v>
      </c>
      <c r="C42" s="23" t="s">
        <v>22</v>
      </c>
      <c r="D42" s="20"/>
      <c r="E42" s="20"/>
      <c r="F42" s="23" t="s">
        <v>24</v>
      </c>
    </row>
    <row r="43" customFormat="false" ht="15" hidden="false" customHeight="false" outlineLevel="0" collapsed="false">
      <c r="A43" s="21" t="s">
        <v>2</v>
      </c>
      <c r="B43" s="22" t="n">
        <v>0.465277777777778</v>
      </c>
      <c r="C43" s="23" t="s">
        <v>6</v>
      </c>
      <c r="D43" s="20"/>
      <c r="E43" s="20"/>
      <c r="F43" s="23" t="s">
        <v>14</v>
      </c>
    </row>
    <row r="44" customFormat="false" ht="15" hidden="false" customHeight="false" outlineLevel="0" collapsed="false">
      <c r="A44" s="21" t="s">
        <v>2</v>
      </c>
      <c r="B44" s="22" t="n">
        <v>0.465277777777778</v>
      </c>
      <c r="C44" s="23" t="s">
        <v>8</v>
      </c>
      <c r="D44" s="20"/>
      <c r="E44" s="20"/>
      <c r="F44" s="23" t="s">
        <v>24</v>
      </c>
    </row>
    <row r="45" customFormat="false" ht="15" hidden="false" customHeight="false" outlineLevel="0" collapsed="false">
      <c r="A45" s="21" t="s">
        <v>2</v>
      </c>
      <c r="B45" s="22" t="n">
        <v>0.472222222222222</v>
      </c>
      <c r="C45" s="23" t="s">
        <v>8</v>
      </c>
      <c r="D45" s="20"/>
      <c r="E45" s="20"/>
      <c r="F45" s="23" t="s">
        <v>16</v>
      </c>
    </row>
    <row r="46" customFormat="false" ht="15" hidden="false" customHeight="false" outlineLevel="0" collapsed="false">
      <c r="A46" s="21" t="s">
        <v>2</v>
      </c>
      <c r="B46" s="22" t="n">
        <v>0.472222222222222</v>
      </c>
      <c r="C46" s="23" t="s">
        <v>14</v>
      </c>
      <c r="D46" s="20"/>
      <c r="E46" s="20"/>
      <c r="F46" s="23" t="s">
        <v>22</v>
      </c>
    </row>
    <row r="47" customFormat="false" ht="15" hidden="false" customHeight="false" outlineLevel="0" collapsed="false">
      <c r="A47" s="21" t="s">
        <v>2</v>
      </c>
      <c r="B47" s="22" t="n">
        <v>0.479166666666667</v>
      </c>
      <c r="C47" s="23" t="s">
        <v>6</v>
      </c>
      <c r="D47" s="20"/>
      <c r="E47" s="20"/>
      <c r="F47" s="23" t="s">
        <v>8</v>
      </c>
    </row>
    <row r="48" customFormat="false" ht="15" hidden="false" customHeight="false" outlineLevel="0" collapsed="false">
      <c r="A48" s="21" t="s">
        <v>2</v>
      </c>
      <c r="B48" s="22" t="n">
        <v>0.479166666666667</v>
      </c>
      <c r="C48" s="23" t="s">
        <v>14</v>
      </c>
      <c r="D48" s="20"/>
      <c r="E48" s="20"/>
      <c r="F48" s="23" t="s">
        <v>24</v>
      </c>
    </row>
    <row r="49" customFormat="false" ht="15" hidden="false" customHeight="false" outlineLevel="0" collapsed="false">
      <c r="A49" s="21" t="s">
        <v>2</v>
      </c>
      <c r="B49" s="22" t="n">
        <v>0.486111111111111</v>
      </c>
      <c r="C49" s="23" t="s">
        <v>22</v>
      </c>
      <c r="D49" s="20"/>
      <c r="E49" s="20"/>
      <c r="F49" s="23" t="s">
        <v>16</v>
      </c>
    </row>
    <row r="50" customFormat="false" ht="15" hidden="false" customHeight="false" outlineLevel="0" collapsed="false">
      <c r="A50" s="21" t="s">
        <v>2</v>
      </c>
      <c r="B50" s="22" t="n">
        <v>0.493055555555556</v>
      </c>
      <c r="C50" s="23" t="s">
        <v>24</v>
      </c>
      <c r="D50" s="20"/>
      <c r="E50" s="20"/>
      <c r="F50" s="23" t="s">
        <v>6</v>
      </c>
    </row>
    <row r="51" customFormat="false" ht="15" hidden="false" customHeight="false" outlineLevel="0" collapsed="false">
      <c r="A51" s="21" t="s">
        <v>2</v>
      </c>
      <c r="B51" s="22" t="n">
        <v>0.493055555555556</v>
      </c>
      <c r="C51" s="23" t="s">
        <v>22</v>
      </c>
      <c r="D51" s="20"/>
      <c r="E51" s="20"/>
      <c r="F51" s="23" t="s">
        <v>8</v>
      </c>
    </row>
    <row r="52" customFormat="false" ht="15" hidden="false" customHeight="false" outlineLevel="0" collapsed="false">
      <c r="A52" s="21" t="s">
        <v>2</v>
      </c>
      <c r="B52" s="22" t="n">
        <v>0.541666666666667</v>
      </c>
      <c r="C52" s="23" t="s">
        <v>16</v>
      </c>
      <c r="D52" s="20"/>
      <c r="E52" s="20"/>
      <c r="F52" s="23" t="s">
        <v>14</v>
      </c>
    </row>
    <row r="53" customFormat="false" ht="15" hidden="false" customHeight="false" outlineLevel="0" collapsed="false">
      <c r="A53" s="21" t="s">
        <v>2</v>
      </c>
      <c r="B53" s="22" t="n">
        <v>0.541666666666667</v>
      </c>
      <c r="C53" s="23" t="s">
        <v>22</v>
      </c>
      <c r="D53" s="20"/>
      <c r="E53" s="20"/>
      <c r="F53" s="23" t="s">
        <v>6</v>
      </c>
    </row>
    <row r="54" customFormat="false" ht="15" hidden="false" customHeight="false" outlineLevel="0" collapsed="false">
      <c r="A54" s="21" t="s">
        <v>2</v>
      </c>
      <c r="B54" s="22" t="n">
        <v>0.548611111111111</v>
      </c>
      <c r="C54" s="23" t="s">
        <v>14</v>
      </c>
      <c r="D54" s="20"/>
      <c r="E54" s="20"/>
      <c r="F54" s="23" t="s">
        <v>8</v>
      </c>
    </row>
    <row r="55" customFormat="false" ht="15" hidden="false" customHeight="false" outlineLevel="0" collapsed="false">
      <c r="A55" s="21" t="s">
        <v>2</v>
      </c>
      <c r="B55" s="22" t="n">
        <v>0.548611111111111</v>
      </c>
      <c r="C55" s="23" t="s">
        <v>24</v>
      </c>
      <c r="D55" s="20"/>
      <c r="E55" s="20"/>
      <c r="F55" s="23" t="s">
        <v>16</v>
      </c>
    </row>
    <row r="56" customFormat="false" ht="15" hidden="false" customHeight="false" outlineLevel="0" collapsed="false">
      <c r="A56" s="21" t="s">
        <v>2</v>
      </c>
      <c r="B56" s="22" t="n">
        <v>0.555555555555556</v>
      </c>
      <c r="C56" s="23" t="s">
        <v>16</v>
      </c>
      <c r="D56" s="20"/>
      <c r="E56" s="20"/>
      <c r="F56" s="23" t="s">
        <v>6</v>
      </c>
    </row>
    <row r="57" customFormat="false" ht="15" hidden="false" customHeight="false" outlineLevel="0" collapsed="false">
      <c r="A57" s="21" t="s">
        <v>2</v>
      </c>
      <c r="B57" s="22" t="n">
        <v>0.555555555555556</v>
      </c>
      <c r="C57" s="23" t="s">
        <v>24</v>
      </c>
      <c r="D57" s="20"/>
      <c r="E57" s="20"/>
      <c r="F57" s="23" t="s">
        <v>22</v>
      </c>
    </row>
    <row r="58" customFormat="false" ht="15" hidden="false" customHeight="false" outlineLevel="0" collapsed="false">
      <c r="A58" s="21" t="s">
        <v>2</v>
      </c>
      <c r="B58" s="22" t="n">
        <v>0.5625</v>
      </c>
      <c r="C58" s="23" t="s">
        <v>14</v>
      </c>
      <c r="D58" s="20"/>
      <c r="E58" s="20"/>
      <c r="F58" s="23" t="s">
        <v>6</v>
      </c>
    </row>
    <row r="59" customFormat="false" ht="15" hidden="false" customHeight="false" outlineLevel="0" collapsed="false">
      <c r="A59" s="21" t="s">
        <v>2</v>
      </c>
      <c r="B59" s="22" t="n">
        <v>0.5625</v>
      </c>
      <c r="C59" s="23" t="s">
        <v>24</v>
      </c>
      <c r="D59" s="20"/>
      <c r="E59" s="20"/>
      <c r="F59" s="23" t="s">
        <v>8</v>
      </c>
    </row>
    <row r="60" customFormat="false" ht="15" hidden="false" customHeight="false" outlineLevel="0" collapsed="false">
      <c r="A60" s="21" t="s">
        <v>2</v>
      </c>
      <c r="B60" s="22" t="n">
        <v>0.569444444444444</v>
      </c>
      <c r="C60" s="23" t="s">
        <v>16</v>
      </c>
      <c r="D60" s="20"/>
      <c r="E60" s="20"/>
      <c r="F60" s="23" t="s">
        <v>8</v>
      </c>
    </row>
    <row r="61" customFormat="false" ht="15" hidden="false" customHeight="false" outlineLevel="0" collapsed="false">
      <c r="A61" s="21" t="s">
        <v>2</v>
      </c>
      <c r="B61" s="22" t="n">
        <v>0.569444444444444</v>
      </c>
      <c r="C61" s="23" t="s">
        <v>22</v>
      </c>
      <c r="D61" s="20"/>
      <c r="E61" s="20"/>
      <c r="F61" s="23" t="s">
        <v>14</v>
      </c>
    </row>
    <row r="62" customFormat="false" ht="15" hidden="false" customHeight="false" outlineLevel="0" collapsed="false">
      <c r="A62" s="21" t="s">
        <v>2</v>
      </c>
      <c r="B62" s="22" t="n">
        <v>0.576388888888889</v>
      </c>
      <c r="C62" s="23" t="s">
        <v>8</v>
      </c>
      <c r="D62" s="20"/>
      <c r="E62" s="20"/>
      <c r="F62" s="23" t="s">
        <v>6</v>
      </c>
    </row>
    <row r="63" customFormat="false" ht="15" hidden="false" customHeight="false" outlineLevel="0" collapsed="false">
      <c r="A63" s="21" t="s">
        <v>2</v>
      </c>
      <c r="B63" s="22" t="n">
        <v>0.576388888888889</v>
      </c>
      <c r="C63" s="23" t="s">
        <v>24</v>
      </c>
      <c r="D63" s="20"/>
      <c r="E63" s="20"/>
      <c r="F63" s="23" t="s">
        <v>14</v>
      </c>
    </row>
    <row r="64" customFormat="false" ht="15" hidden="false" customHeight="false" outlineLevel="0" collapsed="false">
      <c r="A64" s="21" t="s">
        <v>2</v>
      </c>
      <c r="B64" s="22" t="n">
        <v>0.583333333333333</v>
      </c>
      <c r="C64" s="23" t="s">
        <v>16</v>
      </c>
      <c r="D64" s="20"/>
      <c r="E64" s="20"/>
      <c r="F64" s="23" t="s">
        <v>22</v>
      </c>
    </row>
  </sheetData>
  <dataValidations count="1">
    <dataValidation allowBlank="true" error="Please enter a whole number (0 or more)." errorStyle="stop" errorTitle="Invalid score" operator="greaterThanOrEqual" showDropDown="false" showErrorMessage="false" showInputMessage="false" sqref="D5:E6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V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9" min="3" style="0" width="6"/>
    <col collapsed="false" customWidth="true" hidden="false" outlineLevel="0" max="10" min="10" style="0" width="7"/>
    <col collapsed="false" customWidth="true" hidden="true" outlineLevel="0" max="22" min="12" style="0" width="13"/>
  </cols>
  <sheetData>
    <row r="1" customFormat="false" ht="19.7" hidden="false" customHeight="false" outlineLevel="0" collapsed="false">
      <c r="A1" s="14" t="s">
        <v>146</v>
      </c>
    </row>
    <row r="2" customFormat="false" ht="15" hidden="false" customHeight="false" outlineLevel="0" collapsed="false">
      <c r="A2" s="15" t="s">
        <v>94</v>
      </c>
    </row>
    <row r="4" customFormat="false" ht="16.15" hidden="false" customHeight="false" outlineLevel="0" collapsed="false">
      <c r="A4" s="24" t="s">
        <v>1</v>
      </c>
      <c r="B4" s="24"/>
      <c r="C4" s="24"/>
      <c r="D4" s="24"/>
      <c r="E4" s="24"/>
      <c r="F4" s="24"/>
      <c r="G4" s="24"/>
      <c r="H4" s="24"/>
      <c r="I4" s="24"/>
      <c r="J4" s="24"/>
    </row>
    <row r="5" customFormat="false" ht="15" hidden="false" customHeight="false" outlineLevel="0" collapsed="false">
      <c r="A5" s="16" t="s">
        <v>95</v>
      </c>
      <c r="B5" s="16" t="s">
        <v>96</v>
      </c>
      <c r="C5" s="16" t="s">
        <v>97</v>
      </c>
      <c r="D5" s="16" t="s">
        <v>98</v>
      </c>
      <c r="E5" s="16" t="s">
        <v>15</v>
      </c>
      <c r="F5" s="16" t="s">
        <v>25</v>
      </c>
      <c r="G5" s="16" t="s">
        <v>99</v>
      </c>
      <c r="H5" s="16" t="s">
        <v>100</v>
      </c>
      <c r="I5" s="16" t="s">
        <v>101</v>
      </c>
      <c r="J5" s="16" t="s">
        <v>102</v>
      </c>
    </row>
    <row r="6" customFormat="false" ht="15" hidden="false" customHeight="false" outlineLevel="0" collapsed="false">
      <c r="A6" s="17" t="n">
        <v>1</v>
      </c>
      <c r="B6" s="25" t="str">
        <f aca="false">INDEX($M$6:$M$11,$L6)</f>
        <v>Brazil</v>
      </c>
      <c r="C6" s="17" t="n">
        <f aca="false">INDEX($N$6:$N$11,$L6)</f>
        <v>0</v>
      </c>
      <c r="D6" s="17" t="n">
        <f aca="false">INDEX($O$6:$O$11,$L6)</f>
        <v>0</v>
      </c>
      <c r="E6" s="17" t="n">
        <f aca="false">INDEX($P$6:$P$11,$L6)</f>
        <v>0</v>
      </c>
      <c r="F6" s="17" t="n">
        <f aca="false">INDEX($Q$6:$Q$11,$L6)</f>
        <v>0</v>
      </c>
      <c r="G6" s="17" t="n">
        <f aca="false">INDEX($R$6:$R$11,$L6)</f>
        <v>0</v>
      </c>
      <c r="H6" s="17" t="n">
        <f aca="false">INDEX($S$6:$S$11,$L6)</f>
        <v>0</v>
      </c>
      <c r="I6" s="17" t="n">
        <f aca="false">INDEX($T$6:$T$11,$L6)</f>
        <v>0</v>
      </c>
      <c r="J6" s="26" t="n">
        <f aca="false">INDEX($U$6:$U$11,$L6)</f>
        <v>0</v>
      </c>
      <c r="L6" s="10" t="n">
        <f aca="false">MATCH(LARGE($V$6:$V$11,ROW()-5),$V$6:$V$11,0)</f>
        <v>1</v>
      </c>
      <c r="M6" s="10" t="s">
        <v>4</v>
      </c>
      <c r="N6" s="10" t="n">
        <f aca="false">SUMPRODUCT(('U11-U12 Scores'!$C$5:$C$64=$M6)*('U11-U12 Scores'!$D$5:$D$64&lt;&gt;"")*('U11-U12 Scores'!$E$5:$E$64&lt;&gt;""))+SUMPRODUCT(('U11-U12 Scores'!$F$5:$F$64=$M6)*('U11-U12 Scores'!$D$5:$D$64&lt;&gt;"")*('U11-U12 Scores'!$E$5:$E$64&lt;&gt;""))</f>
        <v>0</v>
      </c>
      <c r="O6" s="10" t="n">
        <f aca="false">SUMPRODUCT(('U11-U12 Scores'!$C$5:$C$64=$M6)*('U11-U12 Scores'!$D$5:$D$64&lt;&gt;"")*('U11-U12 Scores'!$E$5:$E$64&lt;&gt;"")*('U11-U12 Scores'!$D$5:$D$64&gt;'U11-U12 Scores'!$E$5:$E$64))+SUMPRODUCT(('U11-U12 Scores'!$F$5:$F$64=$M6)*('U11-U12 Scores'!$D$5:$D$64&lt;&gt;"")*('U11-U12 Scores'!$E$5:$E$64&lt;&gt;"")*('U11-U12 Scores'!$E$5:$E$64&gt;'U11-U12 Scores'!$D$5:$D$64))</f>
        <v>0</v>
      </c>
      <c r="P6" s="10" t="n">
        <f aca="false">SUMPRODUCT((('U11-U12 Scores'!$C$5:$C$64=$M6)+('U11-U12 Scores'!$F$5:$F$64=$M6))*('U11-U12 Scores'!$D$5:$D$64&lt;&gt;"")*('U11-U12 Scores'!$E$5:$E$64&lt;&gt;"")*('U11-U12 Scores'!$D$5:$D$64='U11-U12 Scores'!$E$5:$E$64))</f>
        <v>0</v>
      </c>
      <c r="Q6" s="10" t="n">
        <f aca="false">$N6-$O6-$P6</f>
        <v>0</v>
      </c>
      <c r="R6" s="10" t="n">
        <f aca="false">SUMPRODUCT(('U11-U12 Scores'!$C$5:$C$64=$M6)*('U11-U12 Scores'!$D$5:$D$64&lt;&gt;"")*('U11-U12 Scores'!$E$5:$E$64&lt;&gt;"")*'U11-U12 Scores'!$D$5:$D$64)+SUMPRODUCT(('U11-U12 Scores'!$F$5:$F$64=$M6)*('U11-U12 Scores'!$D$5:$D$64&lt;&gt;"")*('U11-U12 Scores'!$E$5:$E$64&lt;&gt;"")*'U11-U12 Scores'!$E$5:$E$64)</f>
        <v>0</v>
      </c>
      <c r="S6" s="10" t="n">
        <f aca="false">SUMPRODUCT(('U11-U12 Scores'!$C$5:$C$64=$M6)*('U11-U12 Scores'!$D$5:$D$64&lt;&gt;"")*('U11-U12 Scores'!$E$5:$E$64&lt;&gt;"")*'U11-U12 Scores'!$E$5:$E$64)+SUMPRODUCT(('U11-U12 Scores'!$F$5:$F$64=$M6)*('U11-U12 Scores'!$D$5:$D$64&lt;&gt;"")*('U11-U12 Scores'!$E$5:$E$64&lt;&gt;"")*'U11-U12 Scores'!$D$5:$D$64)</f>
        <v>0</v>
      </c>
      <c r="T6" s="10" t="n">
        <f aca="false">$R6-$S6</f>
        <v>0</v>
      </c>
      <c r="U6" s="10" t="n">
        <f aca="false">3*$O6+$P6</f>
        <v>0</v>
      </c>
      <c r="V6" s="10" t="n">
        <f aca="false">$U6*1000000+($T6+500)*1000+$R6+(12-ROW())*0.01</f>
        <v>500000.06</v>
      </c>
    </row>
    <row r="7" customFormat="false" ht="15" hidden="false" customHeight="false" outlineLevel="0" collapsed="false">
      <c r="A7" s="21" t="n">
        <v>2</v>
      </c>
      <c r="B7" s="27" t="str">
        <f aca="false">INDEX($M$6:$M$11,$L7)</f>
        <v>Germany</v>
      </c>
      <c r="C7" s="21" t="n">
        <f aca="false">INDEX($N$6:$N$11,$L7)</f>
        <v>0</v>
      </c>
      <c r="D7" s="21" t="n">
        <f aca="false">INDEX($O$6:$O$11,$L7)</f>
        <v>0</v>
      </c>
      <c r="E7" s="21" t="n">
        <f aca="false">INDEX($P$6:$P$11,$L7)</f>
        <v>0</v>
      </c>
      <c r="F7" s="21" t="n">
        <f aca="false">INDEX($Q$6:$Q$11,$L7)</f>
        <v>0</v>
      </c>
      <c r="G7" s="21" t="n">
        <f aca="false">INDEX($R$6:$R$11,$L7)</f>
        <v>0</v>
      </c>
      <c r="H7" s="21" t="n">
        <f aca="false">INDEX($S$6:$S$11,$L7)</f>
        <v>0</v>
      </c>
      <c r="I7" s="21" t="n">
        <f aca="false">INDEX($T$6:$T$11,$L7)</f>
        <v>0</v>
      </c>
      <c r="J7" s="28" t="n">
        <f aca="false">INDEX($U$6:$U$11,$L7)</f>
        <v>0</v>
      </c>
      <c r="L7" s="10" t="n">
        <f aca="false">MATCH(LARGE($V$6:$V$11,ROW()-5),$V$6:$V$11,0)</f>
        <v>2</v>
      </c>
      <c r="M7" s="10" t="s">
        <v>10</v>
      </c>
      <c r="N7" s="10" t="n">
        <f aca="false">SUMPRODUCT(('U11-U12 Scores'!$C$5:$C$64=$M7)*('U11-U12 Scores'!$D$5:$D$64&lt;&gt;"")*('U11-U12 Scores'!$E$5:$E$64&lt;&gt;""))+SUMPRODUCT(('U11-U12 Scores'!$F$5:$F$64=$M7)*('U11-U12 Scores'!$D$5:$D$64&lt;&gt;"")*('U11-U12 Scores'!$E$5:$E$64&lt;&gt;""))</f>
        <v>0</v>
      </c>
      <c r="O7" s="10" t="n">
        <f aca="false">SUMPRODUCT(('U11-U12 Scores'!$C$5:$C$64=$M7)*('U11-U12 Scores'!$D$5:$D$64&lt;&gt;"")*('U11-U12 Scores'!$E$5:$E$64&lt;&gt;"")*('U11-U12 Scores'!$D$5:$D$64&gt;'U11-U12 Scores'!$E$5:$E$64))+SUMPRODUCT(('U11-U12 Scores'!$F$5:$F$64=$M7)*('U11-U12 Scores'!$D$5:$D$64&lt;&gt;"")*('U11-U12 Scores'!$E$5:$E$64&lt;&gt;"")*('U11-U12 Scores'!$E$5:$E$64&gt;'U11-U12 Scores'!$D$5:$D$64))</f>
        <v>0</v>
      </c>
      <c r="P7" s="10" t="n">
        <f aca="false">SUMPRODUCT((('U11-U12 Scores'!$C$5:$C$64=$M7)+('U11-U12 Scores'!$F$5:$F$64=$M7))*('U11-U12 Scores'!$D$5:$D$64&lt;&gt;"")*('U11-U12 Scores'!$E$5:$E$64&lt;&gt;"")*('U11-U12 Scores'!$D$5:$D$64='U11-U12 Scores'!$E$5:$E$64))</f>
        <v>0</v>
      </c>
      <c r="Q7" s="10" t="n">
        <f aca="false">$N7-$O7-$P7</f>
        <v>0</v>
      </c>
      <c r="R7" s="10" t="n">
        <f aca="false">SUMPRODUCT(('U11-U12 Scores'!$C$5:$C$64=$M7)*('U11-U12 Scores'!$D$5:$D$64&lt;&gt;"")*('U11-U12 Scores'!$E$5:$E$64&lt;&gt;"")*'U11-U12 Scores'!$D$5:$D$64)+SUMPRODUCT(('U11-U12 Scores'!$F$5:$F$64=$M7)*('U11-U12 Scores'!$D$5:$D$64&lt;&gt;"")*('U11-U12 Scores'!$E$5:$E$64&lt;&gt;"")*'U11-U12 Scores'!$E$5:$E$64)</f>
        <v>0</v>
      </c>
      <c r="S7" s="10" t="n">
        <f aca="false">SUMPRODUCT(('U11-U12 Scores'!$C$5:$C$64=$M7)*('U11-U12 Scores'!$D$5:$D$64&lt;&gt;"")*('U11-U12 Scores'!$E$5:$E$64&lt;&gt;"")*'U11-U12 Scores'!$E$5:$E$64)+SUMPRODUCT(('U11-U12 Scores'!$F$5:$F$64=$M7)*('U11-U12 Scores'!$D$5:$D$64&lt;&gt;"")*('U11-U12 Scores'!$E$5:$E$64&lt;&gt;"")*'U11-U12 Scores'!$D$5:$D$64)</f>
        <v>0</v>
      </c>
      <c r="T7" s="10" t="n">
        <f aca="false">$R7-$S7</f>
        <v>0</v>
      </c>
      <c r="U7" s="10" t="n">
        <f aca="false">3*$O7+$P7</f>
        <v>0</v>
      </c>
      <c r="V7" s="10" t="n">
        <f aca="false">$U7*1000000+($T7+500)*1000+$R7+(12-ROW())*0.01</f>
        <v>500000.05</v>
      </c>
    </row>
    <row r="8" customFormat="false" ht="15" hidden="false" customHeight="false" outlineLevel="0" collapsed="false">
      <c r="A8" s="17" t="n">
        <v>3</v>
      </c>
      <c r="B8" s="25" t="str">
        <f aca="false">INDEX($M$6:$M$11,$L8)</f>
        <v>Spain</v>
      </c>
      <c r="C8" s="17" t="n">
        <f aca="false">INDEX($N$6:$N$11,$L8)</f>
        <v>0</v>
      </c>
      <c r="D8" s="17" t="n">
        <f aca="false">INDEX($O$6:$O$11,$L8)</f>
        <v>0</v>
      </c>
      <c r="E8" s="17" t="n">
        <f aca="false">INDEX($P$6:$P$11,$L8)</f>
        <v>0</v>
      </c>
      <c r="F8" s="17" t="n">
        <f aca="false">INDEX($Q$6:$Q$11,$L8)</f>
        <v>0</v>
      </c>
      <c r="G8" s="17" t="n">
        <f aca="false">INDEX($R$6:$R$11,$L8)</f>
        <v>0</v>
      </c>
      <c r="H8" s="17" t="n">
        <f aca="false">INDEX($S$6:$S$11,$L8)</f>
        <v>0</v>
      </c>
      <c r="I8" s="17" t="n">
        <f aca="false">INDEX($T$6:$T$11,$L8)</f>
        <v>0</v>
      </c>
      <c r="J8" s="26" t="n">
        <f aca="false">INDEX($U$6:$U$11,$L8)</f>
        <v>0</v>
      </c>
      <c r="L8" s="10" t="n">
        <f aca="false">MATCH(LARGE($V$6:$V$11,ROW()-5),$V$6:$V$11,0)</f>
        <v>3</v>
      </c>
      <c r="M8" s="10" t="s">
        <v>12</v>
      </c>
      <c r="N8" s="10" t="n">
        <f aca="false">SUMPRODUCT(('U11-U12 Scores'!$C$5:$C$64=$M8)*('U11-U12 Scores'!$D$5:$D$64&lt;&gt;"")*('U11-U12 Scores'!$E$5:$E$64&lt;&gt;""))+SUMPRODUCT(('U11-U12 Scores'!$F$5:$F$64=$M8)*('U11-U12 Scores'!$D$5:$D$64&lt;&gt;"")*('U11-U12 Scores'!$E$5:$E$64&lt;&gt;""))</f>
        <v>0</v>
      </c>
      <c r="O8" s="10" t="n">
        <f aca="false">SUMPRODUCT(('U11-U12 Scores'!$C$5:$C$64=$M8)*('U11-U12 Scores'!$D$5:$D$64&lt;&gt;"")*('U11-U12 Scores'!$E$5:$E$64&lt;&gt;"")*('U11-U12 Scores'!$D$5:$D$64&gt;'U11-U12 Scores'!$E$5:$E$64))+SUMPRODUCT(('U11-U12 Scores'!$F$5:$F$64=$M8)*('U11-U12 Scores'!$D$5:$D$64&lt;&gt;"")*('U11-U12 Scores'!$E$5:$E$64&lt;&gt;"")*('U11-U12 Scores'!$E$5:$E$64&gt;'U11-U12 Scores'!$D$5:$D$64))</f>
        <v>0</v>
      </c>
      <c r="P8" s="10" t="n">
        <f aca="false">SUMPRODUCT((('U11-U12 Scores'!$C$5:$C$64=$M8)+('U11-U12 Scores'!$F$5:$F$64=$M8))*('U11-U12 Scores'!$D$5:$D$64&lt;&gt;"")*('U11-U12 Scores'!$E$5:$E$64&lt;&gt;"")*('U11-U12 Scores'!$D$5:$D$64='U11-U12 Scores'!$E$5:$E$64))</f>
        <v>0</v>
      </c>
      <c r="Q8" s="10" t="n">
        <f aca="false">$N8-$O8-$P8</f>
        <v>0</v>
      </c>
      <c r="R8" s="10" t="n">
        <f aca="false">SUMPRODUCT(('U11-U12 Scores'!$C$5:$C$64=$M8)*('U11-U12 Scores'!$D$5:$D$64&lt;&gt;"")*('U11-U12 Scores'!$E$5:$E$64&lt;&gt;"")*'U11-U12 Scores'!$D$5:$D$64)+SUMPRODUCT(('U11-U12 Scores'!$F$5:$F$64=$M8)*('U11-U12 Scores'!$D$5:$D$64&lt;&gt;"")*('U11-U12 Scores'!$E$5:$E$64&lt;&gt;"")*'U11-U12 Scores'!$E$5:$E$64)</f>
        <v>0</v>
      </c>
      <c r="S8" s="10" t="n">
        <f aca="false">SUMPRODUCT(('U11-U12 Scores'!$C$5:$C$64=$M8)*('U11-U12 Scores'!$D$5:$D$64&lt;&gt;"")*('U11-U12 Scores'!$E$5:$E$64&lt;&gt;"")*'U11-U12 Scores'!$E$5:$E$64)+SUMPRODUCT(('U11-U12 Scores'!$F$5:$F$64=$M8)*('U11-U12 Scores'!$D$5:$D$64&lt;&gt;"")*('U11-U12 Scores'!$E$5:$E$64&lt;&gt;"")*'U11-U12 Scores'!$D$5:$D$64)</f>
        <v>0</v>
      </c>
      <c r="T8" s="10" t="n">
        <f aca="false">$R8-$S8</f>
        <v>0</v>
      </c>
      <c r="U8" s="10" t="n">
        <f aca="false">3*$O8+$P8</f>
        <v>0</v>
      </c>
      <c r="V8" s="10" t="n">
        <f aca="false">$U8*1000000+($T8+500)*1000+$R8+(12-ROW())*0.01</f>
        <v>500000.04</v>
      </c>
    </row>
    <row r="9" customFormat="false" ht="15" hidden="false" customHeight="false" outlineLevel="0" collapsed="false">
      <c r="A9" s="21" t="n">
        <v>4</v>
      </c>
      <c r="B9" s="27" t="str">
        <f aca="false">INDEX($M$6:$M$11,$L9)</f>
        <v>Netherlands</v>
      </c>
      <c r="C9" s="21" t="n">
        <f aca="false">INDEX($N$6:$N$11,$L9)</f>
        <v>0</v>
      </c>
      <c r="D9" s="21" t="n">
        <f aca="false">INDEX($O$6:$O$11,$L9)</f>
        <v>0</v>
      </c>
      <c r="E9" s="21" t="n">
        <f aca="false">INDEX($P$6:$P$11,$L9)</f>
        <v>0</v>
      </c>
      <c r="F9" s="21" t="n">
        <f aca="false">INDEX($Q$6:$Q$11,$L9)</f>
        <v>0</v>
      </c>
      <c r="G9" s="21" t="n">
        <f aca="false">INDEX($R$6:$R$11,$L9)</f>
        <v>0</v>
      </c>
      <c r="H9" s="21" t="n">
        <f aca="false">INDEX($S$6:$S$11,$L9)</f>
        <v>0</v>
      </c>
      <c r="I9" s="21" t="n">
        <f aca="false">INDEX($T$6:$T$11,$L9)</f>
        <v>0</v>
      </c>
      <c r="J9" s="28" t="n">
        <f aca="false">INDEX($U$6:$U$11,$L9)</f>
        <v>0</v>
      </c>
      <c r="L9" s="10" t="n">
        <f aca="false">MATCH(LARGE($V$6:$V$11,ROW()-5),$V$6:$V$11,0)</f>
        <v>4</v>
      </c>
      <c r="M9" s="10" t="s">
        <v>18</v>
      </c>
      <c r="N9" s="10" t="n">
        <f aca="false">SUMPRODUCT(('U11-U12 Scores'!$C$5:$C$64=$M9)*('U11-U12 Scores'!$D$5:$D$64&lt;&gt;"")*('U11-U12 Scores'!$E$5:$E$64&lt;&gt;""))+SUMPRODUCT(('U11-U12 Scores'!$F$5:$F$64=$M9)*('U11-U12 Scores'!$D$5:$D$64&lt;&gt;"")*('U11-U12 Scores'!$E$5:$E$64&lt;&gt;""))</f>
        <v>0</v>
      </c>
      <c r="O9" s="10" t="n">
        <f aca="false">SUMPRODUCT(('U11-U12 Scores'!$C$5:$C$64=$M9)*('U11-U12 Scores'!$D$5:$D$64&lt;&gt;"")*('U11-U12 Scores'!$E$5:$E$64&lt;&gt;"")*('U11-U12 Scores'!$D$5:$D$64&gt;'U11-U12 Scores'!$E$5:$E$64))+SUMPRODUCT(('U11-U12 Scores'!$F$5:$F$64=$M9)*('U11-U12 Scores'!$D$5:$D$64&lt;&gt;"")*('U11-U12 Scores'!$E$5:$E$64&lt;&gt;"")*('U11-U12 Scores'!$E$5:$E$64&gt;'U11-U12 Scores'!$D$5:$D$64))</f>
        <v>0</v>
      </c>
      <c r="P9" s="10" t="n">
        <f aca="false">SUMPRODUCT((('U11-U12 Scores'!$C$5:$C$64=$M9)+('U11-U12 Scores'!$F$5:$F$64=$M9))*('U11-U12 Scores'!$D$5:$D$64&lt;&gt;"")*('U11-U12 Scores'!$E$5:$E$64&lt;&gt;"")*('U11-U12 Scores'!$D$5:$D$64='U11-U12 Scores'!$E$5:$E$64))</f>
        <v>0</v>
      </c>
      <c r="Q9" s="10" t="n">
        <f aca="false">$N9-$O9-$P9</f>
        <v>0</v>
      </c>
      <c r="R9" s="10" t="n">
        <f aca="false">SUMPRODUCT(('U11-U12 Scores'!$C$5:$C$64=$M9)*('U11-U12 Scores'!$D$5:$D$64&lt;&gt;"")*('U11-U12 Scores'!$E$5:$E$64&lt;&gt;"")*'U11-U12 Scores'!$D$5:$D$64)+SUMPRODUCT(('U11-U12 Scores'!$F$5:$F$64=$M9)*('U11-U12 Scores'!$D$5:$D$64&lt;&gt;"")*('U11-U12 Scores'!$E$5:$E$64&lt;&gt;"")*'U11-U12 Scores'!$E$5:$E$64)</f>
        <v>0</v>
      </c>
      <c r="S9" s="10" t="n">
        <f aca="false">SUMPRODUCT(('U11-U12 Scores'!$C$5:$C$64=$M9)*('U11-U12 Scores'!$D$5:$D$64&lt;&gt;"")*('U11-U12 Scores'!$E$5:$E$64&lt;&gt;"")*'U11-U12 Scores'!$E$5:$E$64)+SUMPRODUCT(('U11-U12 Scores'!$F$5:$F$64=$M9)*('U11-U12 Scores'!$D$5:$D$64&lt;&gt;"")*('U11-U12 Scores'!$E$5:$E$64&lt;&gt;"")*'U11-U12 Scores'!$D$5:$D$64)</f>
        <v>0</v>
      </c>
      <c r="T9" s="10" t="n">
        <f aca="false">$R9-$S9</f>
        <v>0</v>
      </c>
      <c r="U9" s="10" t="n">
        <f aca="false">3*$O9+$P9</f>
        <v>0</v>
      </c>
      <c r="V9" s="10" t="n">
        <f aca="false">$U9*1000000+($T9+500)*1000+$R9+(12-ROW())*0.01</f>
        <v>500000.03</v>
      </c>
    </row>
    <row r="10" customFormat="false" ht="15" hidden="false" customHeight="false" outlineLevel="0" collapsed="false">
      <c r="A10" s="17" t="n">
        <v>5</v>
      </c>
      <c r="B10" s="25" t="str">
        <f aca="false">INDEX($M$6:$M$11,$L10)</f>
        <v>Portugal</v>
      </c>
      <c r="C10" s="17" t="n">
        <f aca="false">INDEX($N$6:$N$11,$L10)</f>
        <v>0</v>
      </c>
      <c r="D10" s="17" t="n">
        <f aca="false">INDEX($O$6:$O$11,$L10)</f>
        <v>0</v>
      </c>
      <c r="E10" s="17" t="n">
        <f aca="false">INDEX($P$6:$P$11,$L10)</f>
        <v>0</v>
      </c>
      <c r="F10" s="17" t="n">
        <f aca="false">INDEX($Q$6:$Q$11,$L10)</f>
        <v>0</v>
      </c>
      <c r="G10" s="17" t="n">
        <f aca="false">INDEX($R$6:$R$11,$L10)</f>
        <v>0</v>
      </c>
      <c r="H10" s="17" t="n">
        <f aca="false">INDEX($S$6:$S$11,$L10)</f>
        <v>0</v>
      </c>
      <c r="I10" s="17" t="n">
        <f aca="false">INDEX($T$6:$T$11,$L10)</f>
        <v>0</v>
      </c>
      <c r="J10" s="26" t="n">
        <f aca="false">INDEX($U$6:$U$11,$L10)</f>
        <v>0</v>
      </c>
      <c r="L10" s="10" t="n">
        <f aca="false">MATCH(LARGE($V$6:$V$11,ROW()-5),$V$6:$V$11,0)</f>
        <v>5</v>
      </c>
      <c r="M10" s="10" t="s">
        <v>20</v>
      </c>
      <c r="N10" s="10" t="n">
        <f aca="false">SUMPRODUCT(('U11-U12 Scores'!$C$5:$C$64=$M10)*('U11-U12 Scores'!$D$5:$D$64&lt;&gt;"")*('U11-U12 Scores'!$E$5:$E$64&lt;&gt;""))+SUMPRODUCT(('U11-U12 Scores'!$F$5:$F$64=$M10)*('U11-U12 Scores'!$D$5:$D$64&lt;&gt;"")*('U11-U12 Scores'!$E$5:$E$64&lt;&gt;""))</f>
        <v>0</v>
      </c>
      <c r="O10" s="10" t="n">
        <f aca="false">SUMPRODUCT(('U11-U12 Scores'!$C$5:$C$64=$M10)*('U11-U12 Scores'!$D$5:$D$64&lt;&gt;"")*('U11-U12 Scores'!$E$5:$E$64&lt;&gt;"")*('U11-U12 Scores'!$D$5:$D$64&gt;'U11-U12 Scores'!$E$5:$E$64))+SUMPRODUCT(('U11-U12 Scores'!$F$5:$F$64=$M10)*('U11-U12 Scores'!$D$5:$D$64&lt;&gt;"")*('U11-U12 Scores'!$E$5:$E$64&lt;&gt;"")*('U11-U12 Scores'!$E$5:$E$64&gt;'U11-U12 Scores'!$D$5:$D$64))</f>
        <v>0</v>
      </c>
      <c r="P10" s="10" t="n">
        <f aca="false">SUMPRODUCT((('U11-U12 Scores'!$C$5:$C$64=$M10)+('U11-U12 Scores'!$F$5:$F$64=$M10))*('U11-U12 Scores'!$D$5:$D$64&lt;&gt;"")*('U11-U12 Scores'!$E$5:$E$64&lt;&gt;"")*('U11-U12 Scores'!$D$5:$D$64='U11-U12 Scores'!$E$5:$E$64))</f>
        <v>0</v>
      </c>
      <c r="Q10" s="10" t="n">
        <f aca="false">$N10-$O10-$P10</f>
        <v>0</v>
      </c>
      <c r="R10" s="10" t="n">
        <f aca="false">SUMPRODUCT(('U11-U12 Scores'!$C$5:$C$64=$M10)*('U11-U12 Scores'!$D$5:$D$64&lt;&gt;"")*('U11-U12 Scores'!$E$5:$E$64&lt;&gt;"")*'U11-U12 Scores'!$D$5:$D$64)+SUMPRODUCT(('U11-U12 Scores'!$F$5:$F$64=$M10)*('U11-U12 Scores'!$D$5:$D$64&lt;&gt;"")*('U11-U12 Scores'!$E$5:$E$64&lt;&gt;"")*'U11-U12 Scores'!$E$5:$E$64)</f>
        <v>0</v>
      </c>
      <c r="S10" s="10" t="n">
        <f aca="false">SUMPRODUCT(('U11-U12 Scores'!$C$5:$C$64=$M10)*('U11-U12 Scores'!$D$5:$D$64&lt;&gt;"")*('U11-U12 Scores'!$E$5:$E$64&lt;&gt;"")*'U11-U12 Scores'!$E$5:$E$64)+SUMPRODUCT(('U11-U12 Scores'!$F$5:$F$64=$M10)*('U11-U12 Scores'!$D$5:$D$64&lt;&gt;"")*('U11-U12 Scores'!$E$5:$E$64&lt;&gt;"")*'U11-U12 Scores'!$D$5:$D$64)</f>
        <v>0</v>
      </c>
      <c r="T10" s="10" t="n">
        <f aca="false">$R10-$S10</f>
        <v>0</v>
      </c>
      <c r="U10" s="10" t="n">
        <f aca="false">3*$O10+$P10</f>
        <v>0</v>
      </c>
      <c r="V10" s="10" t="n">
        <f aca="false">$U10*1000000+($T10+500)*1000+$R10+(12-ROW())*0.01</f>
        <v>500000.02</v>
      </c>
    </row>
    <row r="11" customFormat="false" ht="15" hidden="false" customHeight="false" outlineLevel="0" collapsed="false">
      <c r="A11" s="21" t="n">
        <v>6</v>
      </c>
      <c r="B11" s="27" t="str">
        <f aca="false">INDEX($M$6:$M$11,$L11)</f>
        <v>Scotland</v>
      </c>
      <c r="C11" s="21" t="n">
        <f aca="false">INDEX($N$6:$N$11,$L11)</f>
        <v>0</v>
      </c>
      <c r="D11" s="21" t="n">
        <f aca="false">INDEX($O$6:$O$11,$L11)</f>
        <v>0</v>
      </c>
      <c r="E11" s="21" t="n">
        <f aca="false">INDEX($P$6:$P$11,$L11)</f>
        <v>0</v>
      </c>
      <c r="F11" s="21" t="n">
        <f aca="false">INDEX($Q$6:$Q$11,$L11)</f>
        <v>0</v>
      </c>
      <c r="G11" s="21" t="n">
        <f aca="false">INDEX($R$6:$R$11,$L11)</f>
        <v>0</v>
      </c>
      <c r="H11" s="21" t="n">
        <f aca="false">INDEX($S$6:$S$11,$L11)</f>
        <v>0</v>
      </c>
      <c r="I11" s="21" t="n">
        <f aca="false">INDEX($T$6:$T$11,$L11)</f>
        <v>0</v>
      </c>
      <c r="J11" s="28" t="n">
        <f aca="false">INDEX($U$6:$U$11,$L11)</f>
        <v>0</v>
      </c>
      <c r="L11" s="10" t="n">
        <f aca="false">MATCH(LARGE($V$6:$V$11,ROW()-5),$V$6:$V$11,0)</f>
        <v>6</v>
      </c>
      <c r="M11" s="10" t="s">
        <v>26</v>
      </c>
      <c r="N11" s="10" t="n">
        <f aca="false">SUMPRODUCT(('U11-U12 Scores'!$C$5:$C$64=$M11)*('U11-U12 Scores'!$D$5:$D$64&lt;&gt;"")*('U11-U12 Scores'!$E$5:$E$64&lt;&gt;""))+SUMPRODUCT(('U11-U12 Scores'!$F$5:$F$64=$M11)*('U11-U12 Scores'!$D$5:$D$64&lt;&gt;"")*('U11-U12 Scores'!$E$5:$E$64&lt;&gt;""))</f>
        <v>0</v>
      </c>
      <c r="O11" s="10" t="n">
        <f aca="false">SUMPRODUCT(('U11-U12 Scores'!$C$5:$C$64=$M11)*('U11-U12 Scores'!$D$5:$D$64&lt;&gt;"")*('U11-U12 Scores'!$E$5:$E$64&lt;&gt;"")*('U11-U12 Scores'!$D$5:$D$64&gt;'U11-U12 Scores'!$E$5:$E$64))+SUMPRODUCT(('U11-U12 Scores'!$F$5:$F$64=$M11)*('U11-U12 Scores'!$D$5:$D$64&lt;&gt;"")*('U11-U12 Scores'!$E$5:$E$64&lt;&gt;"")*('U11-U12 Scores'!$E$5:$E$64&gt;'U11-U12 Scores'!$D$5:$D$64))</f>
        <v>0</v>
      </c>
      <c r="P11" s="10" t="n">
        <f aca="false">SUMPRODUCT((('U11-U12 Scores'!$C$5:$C$64=$M11)+('U11-U12 Scores'!$F$5:$F$64=$M11))*('U11-U12 Scores'!$D$5:$D$64&lt;&gt;"")*('U11-U12 Scores'!$E$5:$E$64&lt;&gt;"")*('U11-U12 Scores'!$D$5:$D$64='U11-U12 Scores'!$E$5:$E$64))</f>
        <v>0</v>
      </c>
      <c r="Q11" s="10" t="n">
        <f aca="false">$N11-$O11-$P11</f>
        <v>0</v>
      </c>
      <c r="R11" s="10" t="n">
        <f aca="false">SUMPRODUCT(('U11-U12 Scores'!$C$5:$C$64=$M11)*('U11-U12 Scores'!$D$5:$D$64&lt;&gt;"")*('U11-U12 Scores'!$E$5:$E$64&lt;&gt;"")*'U11-U12 Scores'!$D$5:$D$64)+SUMPRODUCT(('U11-U12 Scores'!$F$5:$F$64=$M11)*('U11-U12 Scores'!$D$5:$D$64&lt;&gt;"")*('U11-U12 Scores'!$E$5:$E$64&lt;&gt;"")*'U11-U12 Scores'!$E$5:$E$64)</f>
        <v>0</v>
      </c>
      <c r="S11" s="10" t="n">
        <f aca="false">SUMPRODUCT(('U11-U12 Scores'!$C$5:$C$64=$M11)*('U11-U12 Scores'!$D$5:$D$64&lt;&gt;"")*('U11-U12 Scores'!$E$5:$E$64&lt;&gt;"")*'U11-U12 Scores'!$E$5:$E$64)+SUMPRODUCT(('U11-U12 Scores'!$F$5:$F$64=$M11)*('U11-U12 Scores'!$D$5:$D$64&lt;&gt;"")*('U11-U12 Scores'!$E$5:$E$64&lt;&gt;"")*'U11-U12 Scores'!$D$5:$D$64)</f>
        <v>0</v>
      </c>
      <c r="T11" s="10" t="n">
        <f aca="false">$R11-$S11</f>
        <v>0</v>
      </c>
      <c r="U11" s="10" t="n">
        <f aca="false">3*$O11+$P11</f>
        <v>0</v>
      </c>
      <c r="V11" s="10" t="n">
        <f aca="false">$U11*1000000+($T11+500)*1000+$R11+(12-ROW())*0.01</f>
        <v>500000.01</v>
      </c>
    </row>
    <row r="14" customFormat="false" ht="16.15" hidden="false" customHeight="false" outlineLevel="0" collapsed="false">
      <c r="A14" s="24" t="s">
        <v>2</v>
      </c>
      <c r="B14" s="24"/>
      <c r="C14" s="24"/>
      <c r="D14" s="24"/>
      <c r="E14" s="24"/>
      <c r="F14" s="24"/>
      <c r="G14" s="24"/>
      <c r="H14" s="24"/>
      <c r="I14" s="24"/>
      <c r="J14" s="24"/>
    </row>
    <row r="15" customFormat="false" ht="15" hidden="false" customHeight="false" outlineLevel="0" collapsed="false">
      <c r="A15" s="16" t="s">
        <v>95</v>
      </c>
      <c r="B15" s="16" t="s">
        <v>96</v>
      </c>
      <c r="C15" s="16" t="s">
        <v>97</v>
      </c>
      <c r="D15" s="16" t="s">
        <v>98</v>
      </c>
      <c r="E15" s="16" t="s">
        <v>15</v>
      </c>
      <c r="F15" s="16" t="s">
        <v>25</v>
      </c>
      <c r="G15" s="16" t="s">
        <v>99</v>
      </c>
      <c r="H15" s="16" t="s">
        <v>100</v>
      </c>
      <c r="I15" s="16" t="s">
        <v>101</v>
      </c>
      <c r="J15" s="16" t="s">
        <v>102</v>
      </c>
    </row>
    <row r="16" customFormat="false" ht="15" hidden="false" customHeight="false" outlineLevel="0" collapsed="false">
      <c r="A16" s="17" t="n">
        <v>1</v>
      </c>
      <c r="B16" s="25" t="str">
        <f aca="false">INDEX($M$16:$M$21,$L16)</f>
        <v>France</v>
      </c>
      <c r="C16" s="17" t="n">
        <f aca="false">INDEX($N$16:$N$21,$L16)</f>
        <v>0</v>
      </c>
      <c r="D16" s="17" t="n">
        <f aca="false">INDEX($O$16:$O$21,$L16)</f>
        <v>0</v>
      </c>
      <c r="E16" s="17" t="n">
        <f aca="false">INDEX($P$16:$P$21,$L16)</f>
        <v>0</v>
      </c>
      <c r="F16" s="17" t="n">
        <f aca="false">INDEX($Q$16:$Q$21,$L16)</f>
        <v>0</v>
      </c>
      <c r="G16" s="17" t="n">
        <f aca="false">INDEX($R$16:$R$21,$L16)</f>
        <v>0</v>
      </c>
      <c r="H16" s="17" t="n">
        <f aca="false">INDEX($S$16:$S$21,$L16)</f>
        <v>0</v>
      </c>
      <c r="I16" s="17" t="n">
        <f aca="false">INDEX($T$16:$T$21,$L16)</f>
        <v>0</v>
      </c>
      <c r="J16" s="26" t="n">
        <f aca="false">INDEX($U$16:$U$21,$L16)</f>
        <v>0</v>
      </c>
      <c r="L16" s="10" t="n">
        <f aca="false">MATCH(LARGE($V$16:$V$21,ROW()-15),$V$16:$V$21,0)</f>
        <v>1</v>
      </c>
      <c r="M16" s="10" t="s">
        <v>6</v>
      </c>
      <c r="N16" s="10" t="n">
        <f aca="false">SUMPRODUCT(('U11-U12 Scores'!$C$5:$C$64=$M16)*('U11-U12 Scores'!$D$5:$D$64&lt;&gt;"")*('U11-U12 Scores'!$E$5:$E$64&lt;&gt;""))+SUMPRODUCT(('U11-U12 Scores'!$F$5:$F$64=$M16)*('U11-U12 Scores'!$D$5:$D$64&lt;&gt;"")*('U11-U12 Scores'!$E$5:$E$64&lt;&gt;""))</f>
        <v>0</v>
      </c>
      <c r="O16" s="10" t="n">
        <f aca="false">SUMPRODUCT(('U11-U12 Scores'!$C$5:$C$64=$M16)*('U11-U12 Scores'!$D$5:$D$64&lt;&gt;"")*('U11-U12 Scores'!$E$5:$E$64&lt;&gt;"")*('U11-U12 Scores'!$D$5:$D$64&gt;'U11-U12 Scores'!$E$5:$E$64))+SUMPRODUCT(('U11-U12 Scores'!$F$5:$F$64=$M16)*('U11-U12 Scores'!$D$5:$D$64&lt;&gt;"")*('U11-U12 Scores'!$E$5:$E$64&lt;&gt;"")*('U11-U12 Scores'!$E$5:$E$64&gt;'U11-U12 Scores'!$D$5:$D$64))</f>
        <v>0</v>
      </c>
      <c r="P16" s="10" t="n">
        <f aca="false">SUMPRODUCT((('U11-U12 Scores'!$C$5:$C$64=$M16)+('U11-U12 Scores'!$F$5:$F$64=$M16))*('U11-U12 Scores'!$D$5:$D$64&lt;&gt;"")*('U11-U12 Scores'!$E$5:$E$64&lt;&gt;"")*('U11-U12 Scores'!$D$5:$D$64='U11-U12 Scores'!$E$5:$E$64))</f>
        <v>0</v>
      </c>
      <c r="Q16" s="10" t="n">
        <f aca="false">$N16-$O16-$P16</f>
        <v>0</v>
      </c>
      <c r="R16" s="10" t="n">
        <f aca="false">SUMPRODUCT(('U11-U12 Scores'!$C$5:$C$64=$M16)*('U11-U12 Scores'!$D$5:$D$64&lt;&gt;"")*('U11-U12 Scores'!$E$5:$E$64&lt;&gt;"")*'U11-U12 Scores'!$D$5:$D$64)+SUMPRODUCT(('U11-U12 Scores'!$F$5:$F$64=$M16)*('U11-U12 Scores'!$D$5:$D$64&lt;&gt;"")*('U11-U12 Scores'!$E$5:$E$64&lt;&gt;"")*'U11-U12 Scores'!$E$5:$E$64)</f>
        <v>0</v>
      </c>
      <c r="S16" s="10" t="n">
        <f aca="false">SUMPRODUCT(('U11-U12 Scores'!$C$5:$C$64=$M16)*('U11-U12 Scores'!$D$5:$D$64&lt;&gt;"")*('U11-U12 Scores'!$E$5:$E$64&lt;&gt;"")*'U11-U12 Scores'!$E$5:$E$64)+SUMPRODUCT(('U11-U12 Scores'!$F$5:$F$64=$M16)*('U11-U12 Scores'!$D$5:$D$64&lt;&gt;"")*('U11-U12 Scores'!$E$5:$E$64&lt;&gt;"")*'U11-U12 Scores'!$D$5:$D$64)</f>
        <v>0</v>
      </c>
      <c r="T16" s="10" t="n">
        <f aca="false">$R16-$S16</f>
        <v>0</v>
      </c>
      <c r="U16" s="10" t="n">
        <f aca="false">3*$O16+$P16</f>
        <v>0</v>
      </c>
      <c r="V16" s="10" t="n">
        <f aca="false">$U16*1000000+($T16+500)*1000+$R16+(22-ROW())*0.01</f>
        <v>500000.06</v>
      </c>
    </row>
    <row r="17" customFormat="false" ht="15" hidden="false" customHeight="false" outlineLevel="0" collapsed="false">
      <c r="A17" s="21" t="n">
        <v>2</v>
      </c>
      <c r="B17" s="27" t="str">
        <f aca="false">INDEX($M$16:$M$21,$L17)</f>
        <v>England</v>
      </c>
      <c r="C17" s="21" t="n">
        <f aca="false">INDEX($N$16:$N$21,$L17)</f>
        <v>0</v>
      </c>
      <c r="D17" s="21" t="n">
        <f aca="false">INDEX($O$16:$O$21,$L17)</f>
        <v>0</v>
      </c>
      <c r="E17" s="21" t="n">
        <f aca="false">INDEX($P$16:$P$21,$L17)</f>
        <v>0</v>
      </c>
      <c r="F17" s="21" t="n">
        <f aca="false">INDEX($Q$16:$Q$21,$L17)</f>
        <v>0</v>
      </c>
      <c r="G17" s="21" t="n">
        <f aca="false">INDEX($R$16:$R$21,$L17)</f>
        <v>0</v>
      </c>
      <c r="H17" s="21" t="n">
        <f aca="false">INDEX($S$16:$S$21,$L17)</f>
        <v>0</v>
      </c>
      <c r="I17" s="21" t="n">
        <f aca="false">INDEX($T$16:$T$21,$L17)</f>
        <v>0</v>
      </c>
      <c r="J17" s="28" t="n">
        <f aca="false">INDEX($U$16:$U$21,$L17)</f>
        <v>0</v>
      </c>
      <c r="L17" s="10" t="n">
        <f aca="false">MATCH(LARGE($V$16:$V$21,ROW()-15),$V$16:$V$21,0)</f>
        <v>2</v>
      </c>
      <c r="M17" s="10" t="s">
        <v>8</v>
      </c>
      <c r="N17" s="10" t="n">
        <f aca="false">SUMPRODUCT(('U11-U12 Scores'!$C$5:$C$64=$M17)*('U11-U12 Scores'!$D$5:$D$64&lt;&gt;"")*('U11-U12 Scores'!$E$5:$E$64&lt;&gt;""))+SUMPRODUCT(('U11-U12 Scores'!$F$5:$F$64=$M17)*('U11-U12 Scores'!$D$5:$D$64&lt;&gt;"")*('U11-U12 Scores'!$E$5:$E$64&lt;&gt;""))</f>
        <v>0</v>
      </c>
      <c r="O17" s="10" t="n">
        <f aca="false">SUMPRODUCT(('U11-U12 Scores'!$C$5:$C$64=$M17)*('U11-U12 Scores'!$D$5:$D$64&lt;&gt;"")*('U11-U12 Scores'!$E$5:$E$64&lt;&gt;"")*('U11-U12 Scores'!$D$5:$D$64&gt;'U11-U12 Scores'!$E$5:$E$64))+SUMPRODUCT(('U11-U12 Scores'!$F$5:$F$64=$M17)*('U11-U12 Scores'!$D$5:$D$64&lt;&gt;"")*('U11-U12 Scores'!$E$5:$E$64&lt;&gt;"")*('U11-U12 Scores'!$E$5:$E$64&gt;'U11-U12 Scores'!$D$5:$D$64))</f>
        <v>0</v>
      </c>
      <c r="P17" s="10" t="n">
        <f aca="false">SUMPRODUCT((('U11-U12 Scores'!$C$5:$C$64=$M17)+('U11-U12 Scores'!$F$5:$F$64=$M17))*('U11-U12 Scores'!$D$5:$D$64&lt;&gt;"")*('U11-U12 Scores'!$E$5:$E$64&lt;&gt;"")*('U11-U12 Scores'!$D$5:$D$64='U11-U12 Scores'!$E$5:$E$64))</f>
        <v>0</v>
      </c>
      <c r="Q17" s="10" t="n">
        <f aca="false">$N17-$O17-$P17</f>
        <v>0</v>
      </c>
      <c r="R17" s="10" t="n">
        <f aca="false">SUMPRODUCT(('U11-U12 Scores'!$C$5:$C$64=$M17)*('U11-U12 Scores'!$D$5:$D$64&lt;&gt;"")*('U11-U12 Scores'!$E$5:$E$64&lt;&gt;"")*'U11-U12 Scores'!$D$5:$D$64)+SUMPRODUCT(('U11-U12 Scores'!$F$5:$F$64=$M17)*('U11-U12 Scores'!$D$5:$D$64&lt;&gt;"")*('U11-U12 Scores'!$E$5:$E$64&lt;&gt;"")*'U11-U12 Scores'!$E$5:$E$64)</f>
        <v>0</v>
      </c>
      <c r="S17" s="10" t="n">
        <f aca="false">SUMPRODUCT(('U11-U12 Scores'!$C$5:$C$64=$M17)*('U11-U12 Scores'!$D$5:$D$64&lt;&gt;"")*('U11-U12 Scores'!$E$5:$E$64&lt;&gt;"")*'U11-U12 Scores'!$E$5:$E$64)+SUMPRODUCT(('U11-U12 Scores'!$F$5:$F$64=$M17)*('U11-U12 Scores'!$D$5:$D$64&lt;&gt;"")*('U11-U12 Scores'!$E$5:$E$64&lt;&gt;"")*'U11-U12 Scores'!$D$5:$D$64)</f>
        <v>0</v>
      </c>
      <c r="T17" s="10" t="n">
        <f aca="false">$R17-$S17</f>
        <v>0</v>
      </c>
      <c r="U17" s="10" t="n">
        <f aca="false">3*$O17+$P17</f>
        <v>0</v>
      </c>
      <c r="V17" s="10" t="n">
        <f aca="false">$U17*1000000+($T17+500)*1000+$R17+(22-ROW())*0.01</f>
        <v>500000.05</v>
      </c>
    </row>
    <row r="18" customFormat="false" ht="15" hidden="false" customHeight="false" outlineLevel="0" collapsed="false">
      <c r="A18" s="17" t="n">
        <v>3</v>
      </c>
      <c r="B18" s="25" t="str">
        <f aca="false">INDEX($M$16:$M$21,$L18)</f>
        <v>Argentina</v>
      </c>
      <c r="C18" s="17" t="n">
        <f aca="false">INDEX($N$16:$N$21,$L18)</f>
        <v>0</v>
      </c>
      <c r="D18" s="17" t="n">
        <f aca="false">INDEX($O$16:$O$21,$L18)</f>
        <v>0</v>
      </c>
      <c r="E18" s="17" t="n">
        <f aca="false">INDEX($P$16:$P$21,$L18)</f>
        <v>0</v>
      </c>
      <c r="F18" s="17" t="n">
        <f aca="false">INDEX($Q$16:$Q$21,$L18)</f>
        <v>0</v>
      </c>
      <c r="G18" s="17" t="n">
        <f aca="false">INDEX($R$16:$R$21,$L18)</f>
        <v>0</v>
      </c>
      <c r="H18" s="17" t="n">
        <f aca="false">INDEX($S$16:$S$21,$L18)</f>
        <v>0</v>
      </c>
      <c r="I18" s="17" t="n">
        <f aca="false">INDEX($T$16:$T$21,$L18)</f>
        <v>0</v>
      </c>
      <c r="J18" s="26" t="n">
        <f aca="false">INDEX($U$16:$U$21,$L18)</f>
        <v>0</v>
      </c>
      <c r="L18" s="10" t="n">
        <f aca="false">MATCH(LARGE($V$16:$V$21,ROW()-15),$V$16:$V$21,0)</f>
        <v>3</v>
      </c>
      <c r="M18" s="10" t="s">
        <v>14</v>
      </c>
      <c r="N18" s="10" t="n">
        <f aca="false">SUMPRODUCT(('U11-U12 Scores'!$C$5:$C$64=$M18)*('U11-U12 Scores'!$D$5:$D$64&lt;&gt;"")*('U11-U12 Scores'!$E$5:$E$64&lt;&gt;""))+SUMPRODUCT(('U11-U12 Scores'!$F$5:$F$64=$M18)*('U11-U12 Scores'!$D$5:$D$64&lt;&gt;"")*('U11-U12 Scores'!$E$5:$E$64&lt;&gt;""))</f>
        <v>0</v>
      </c>
      <c r="O18" s="10" t="n">
        <f aca="false">SUMPRODUCT(('U11-U12 Scores'!$C$5:$C$64=$M18)*('U11-U12 Scores'!$D$5:$D$64&lt;&gt;"")*('U11-U12 Scores'!$E$5:$E$64&lt;&gt;"")*('U11-U12 Scores'!$D$5:$D$64&gt;'U11-U12 Scores'!$E$5:$E$64))+SUMPRODUCT(('U11-U12 Scores'!$F$5:$F$64=$M18)*('U11-U12 Scores'!$D$5:$D$64&lt;&gt;"")*('U11-U12 Scores'!$E$5:$E$64&lt;&gt;"")*('U11-U12 Scores'!$E$5:$E$64&gt;'U11-U12 Scores'!$D$5:$D$64))</f>
        <v>0</v>
      </c>
      <c r="P18" s="10" t="n">
        <f aca="false">SUMPRODUCT((('U11-U12 Scores'!$C$5:$C$64=$M18)+('U11-U12 Scores'!$F$5:$F$64=$M18))*('U11-U12 Scores'!$D$5:$D$64&lt;&gt;"")*('U11-U12 Scores'!$E$5:$E$64&lt;&gt;"")*('U11-U12 Scores'!$D$5:$D$64='U11-U12 Scores'!$E$5:$E$64))</f>
        <v>0</v>
      </c>
      <c r="Q18" s="10" t="n">
        <f aca="false">$N18-$O18-$P18</f>
        <v>0</v>
      </c>
      <c r="R18" s="10" t="n">
        <f aca="false">SUMPRODUCT(('U11-U12 Scores'!$C$5:$C$64=$M18)*('U11-U12 Scores'!$D$5:$D$64&lt;&gt;"")*('U11-U12 Scores'!$E$5:$E$64&lt;&gt;"")*'U11-U12 Scores'!$D$5:$D$64)+SUMPRODUCT(('U11-U12 Scores'!$F$5:$F$64=$M18)*('U11-U12 Scores'!$D$5:$D$64&lt;&gt;"")*('U11-U12 Scores'!$E$5:$E$64&lt;&gt;"")*'U11-U12 Scores'!$E$5:$E$64)</f>
        <v>0</v>
      </c>
      <c r="S18" s="10" t="n">
        <f aca="false">SUMPRODUCT(('U11-U12 Scores'!$C$5:$C$64=$M18)*('U11-U12 Scores'!$D$5:$D$64&lt;&gt;"")*('U11-U12 Scores'!$E$5:$E$64&lt;&gt;"")*'U11-U12 Scores'!$E$5:$E$64)+SUMPRODUCT(('U11-U12 Scores'!$F$5:$F$64=$M18)*('U11-U12 Scores'!$D$5:$D$64&lt;&gt;"")*('U11-U12 Scores'!$E$5:$E$64&lt;&gt;"")*'U11-U12 Scores'!$D$5:$D$64)</f>
        <v>0</v>
      </c>
      <c r="T18" s="10" t="n">
        <f aca="false">$R18-$S18</f>
        <v>0</v>
      </c>
      <c r="U18" s="10" t="n">
        <f aca="false">3*$O18+$P18</f>
        <v>0</v>
      </c>
      <c r="V18" s="10" t="n">
        <f aca="false">$U18*1000000+($T18+500)*1000+$R18+(22-ROW())*0.01</f>
        <v>500000.04</v>
      </c>
    </row>
    <row r="19" customFormat="false" ht="15" hidden="false" customHeight="false" outlineLevel="0" collapsed="false">
      <c r="A19" s="21" t="n">
        <v>4</v>
      </c>
      <c r="B19" s="27" t="str">
        <f aca="false">INDEX($M$16:$M$21,$L19)</f>
        <v>Mexico</v>
      </c>
      <c r="C19" s="21" t="n">
        <f aca="false">INDEX($N$16:$N$21,$L19)</f>
        <v>0</v>
      </c>
      <c r="D19" s="21" t="n">
        <f aca="false">INDEX($O$16:$O$21,$L19)</f>
        <v>0</v>
      </c>
      <c r="E19" s="21" t="n">
        <f aca="false">INDEX($P$16:$P$21,$L19)</f>
        <v>0</v>
      </c>
      <c r="F19" s="21" t="n">
        <f aca="false">INDEX($Q$16:$Q$21,$L19)</f>
        <v>0</v>
      </c>
      <c r="G19" s="21" t="n">
        <f aca="false">INDEX($R$16:$R$21,$L19)</f>
        <v>0</v>
      </c>
      <c r="H19" s="21" t="n">
        <f aca="false">INDEX($S$16:$S$21,$L19)</f>
        <v>0</v>
      </c>
      <c r="I19" s="21" t="n">
        <f aca="false">INDEX($T$16:$T$21,$L19)</f>
        <v>0</v>
      </c>
      <c r="J19" s="28" t="n">
        <f aca="false">INDEX($U$16:$U$21,$L19)</f>
        <v>0</v>
      </c>
      <c r="L19" s="10" t="n">
        <f aca="false">MATCH(LARGE($V$16:$V$21,ROW()-15),$V$16:$V$21,0)</f>
        <v>4</v>
      </c>
      <c r="M19" s="10" t="s">
        <v>16</v>
      </c>
      <c r="N19" s="10" t="n">
        <f aca="false">SUMPRODUCT(('U11-U12 Scores'!$C$5:$C$64=$M19)*('U11-U12 Scores'!$D$5:$D$64&lt;&gt;"")*('U11-U12 Scores'!$E$5:$E$64&lt;&gt;""))+SUMPRODUCT(('U11-U12 Scores'!$F$5:$F$64=$M19)*('U11-U12 Scores'!$D$5:$D$64&lt;&gt;"")*('U11-U12 Scores'!$E$5:$E$64&lt;&gt;""))</f>
        <v>0</v>
      </c>
      <c r="O19" s="10" t="n">
        <f aca="false">SUMPRODUCT(('U11-U12 Scores'!$C$5:$C$64=$M19)*('U11-U12 Scores'!$D$5:$D$64&lt;&gt;"")*('U11-U12 Scores'!$E$5:$E$64&lt;&gt;"")*('U11-U12 Scores'!$D$5:$D$64&gt;'U11-U12 Scores'!$E$5:$E$64))+SUMPRODUCT(('U11-U12 Scores'!$F$5:$F$64=$M19)*('U11-U12 Scores'!$D$5:$D$64&lt;&gt;"")*('U11-U12 Scores'!$E$5:$E$64&lt;&gt;"")*('U11-U12 Scores'!$E$5:$E$64&gt;'U11-U12 Scores'!$D$5:$D$64))</f>
        <v>0</v>
      </c>
      <c r="P19" s="10" t="n">
        <f aca="false">SUMPRODUCT((('U11-U12 Scores'!$C$5:$C$64=$M19)+('U11-U12 Scores'!$F$5:$F$64=$M19))*('U11-U12 Scores'!$D$5:$D$64&lt;&gt;"")*('U11-U12 Scores'!$E$5:$E$64&lt;&gt;"")*('U11-U12 Scores'!$D$5:$D$64='U11-U12 Scores'!$E$5:$E$64))</f>
        <v>0</v>
      </c>
      <c r="Q19" s="10" t="n">
        <f aca="false">$N19-$O19-$P19</f>
        <v>0</v>
      </c>
      <c r="R19" s="10" t="n">
        <f aca="false">SUMPRODUCT(('U11-U12 Scores'!$C$5:$C$64=$M19)*('U11-U12 Scores'!$D$5:$D$64&lt;&gt;"")*('U11-U12 Scores'!$E$5:$E$64&lt;&gt;"")*'U11-U12 Scores'!$D$5:$D$64)+SUMPRODUCT(('U11-U12 Scores'!$F$5:$F$64=$M19)*('U11-U12 Scores'!$D$5:$D$64&lt;&gt;"")*('U11-U12 Scores'!$E$5:$E$64&lt;&gt;"")*'U11-U12 Scores'!$E$5:$E$64)</f>
        <v>0</v>
      </c>
      <c r="S19" s="10" t="n">
        <f aca="false">SUMPRODUCT(('U11-U12 Scores'!$C$5:$C$64=$M19)*('U11-U12 Scores'!$D$5:$D$64&lt;&gt;"")*('U11-U12 Scores'!$E$5:$E$64&lt;&gt;"")*'U11-U12 Scores'!$E$5:$E$64)+SUMPRODUCT(('U11-U12 Scores'!$F$5:$F$64=$M19)*('U11-U12 Scores'!$D$5:$D$64&lt;&gt;"")*('U11-U12 Scores'!$E$5:$E$64&lt;&gt;"")*'U11-U12 Scores'!$D$5:$D$64)</f>
        <v>0</v>
      </c>
      <c r="T19" s="10" t="n">
        <f aca="false">$R19-$S19</f>
        <v>0</v>
      </c>
      <c r="U19" s="10" t="n">
        <f aca="false">3*$O19+$P19</f>
        <v>0</v>
      </c>
      <c r="V19" s="10" t="n">
        <f aca="false">$U19*1000000+($T19+500)*1000+$R19+(22-ROW())*0.01</f>
        <v>500000.03</v>
      </c>
    </row>
    <row r="20" customFormat="false" ht="15" hidden="false" customHeight="false" outlineLevel="0" collapsed="false">
      <c r="A20" s="17" t="n">
        <v>5</v>
      </c>
      <c r="B20" s="25" t="str">
        <f aca="false">INDEX($M$16:$M$21,$L20)</f>
        <v>Canada</v>
      </c>
      <c r="C20" s="17" t="n">
        <f aca="false">INDEX($N$16:$N$21,$L20)</f>
        <v>0</v>
      </c>
      <c r="D20" s="17" t="n">
        <f aca="false">INDEX($O$16:$O$21,$L20)</f>
        <v>0</v>
      </c>
      <c r="E20" s="17" t="n">
        <f aca="false">INDEX($P$16:$P$21,$L20)</f>
        <v>0</v>
      </c>
      <c r="F20" s="17" t="n">
        <f aca="false">INDEX($Q$16:$Q$21,$L20)</f>
        <v>0</v>
      </c>
      <c r="G20" s="17" t="n">
        <f aca="false">INDEX($R$16:$R$21,$L20)</f>
        <v>0</v>
      </c>
      <c r="H20" s="17" t="n">
        <f aca="false">INDEX($S$16:$S$21,$L20)</f>
        <v>0</v>
      </c>
      <c r="I20" s="17" t="n">
        <f aca="false">INDEX($T$16:$T$21,$L20)</f>
        <v>0</v>
      </c>
      <c r="J20" s="26" t="n">
        <f aca="false">INDEX($U$16:$U$21,$L20)</f>
        <v>0</v>
      </c>
      <c r="L20" s="10" t="n">
        <f aca="false">MATCH(LARGE($V$16:$V$21,ROW()-15),$V$16:$V$21,0)</f>
        <v>5</v>
      </c>
      <c r="M20" s="10" t="s">
        <v>22</v>
      </c>
      <c r="N20" s="10" t="n">
        <f aca="false">SUMPRODUCT(('U11-U12 Scores'!$C$5:$C$64=$M20)*('U11-U12 Scores'!$D$5:$D$64&lt;&gt;"")*('U11-U12 Scores'!$E$5:$E$64&lt;&gt;""))+SUMPRODUCT(('U11-U12 Scores'!$F$5:$F$64=$M20)*('U11-U12 Scores'!$D$5:$D$64&lt;&gt;"")*('U11-U12 Scores'!$E$5:$E$64&lt;&gt;""))</f>
        <v>0</v>
      </c>
      <c r="O20" s="10" t="n">
        <f aca="false">SUMPRODUCT(('U11-U12 Scores'!$C$5:$C$64=$M20)*('U11-U12 Scores'!$D$5:$D$64&lt;&gt;"")*('U11-U12 Scores'!$E$5:$E$64&lt;&gt;"")*('U11-U12 Scores'!$D$5:$D$64&gt;'U11-U12 Scores'!$E$5:$E$64))+SUMPRODUCT(('U11-U12 Scores'!$F$5:$F$64=$M20)*('U11-U12 Scores'!$D$5:$D$64&lt;&gt;"")*('U11-U12 Scores'!$E$5:$E$64&lt;&gt;"")*('U11-U12 Scores'!$E$5:$E$64&gt;'U11-U12 Scores'!$D$5:$D$64))</f>
        <v>0</v>
      </c>
      <c r="P20" s="10" t="n">
        <f aca="false">SUMPRODUCT((('U11-U12 Scores'!$C$5:$C$64=$M20)+('U11-U12 Scores'!$F$5:$F$64=$M20))*('U11-U12 Scores'!$D$5:$D$64&lt;&gt;"")*('U11-U12 Scores'!$E$5:$E$64&lt;&gt;"")*('U11-U12 Scores'!$D$5:$D$64='U11-U12 Scores'!$E$5:$E$64))</f>
        <v>0</v>
      </c>
      <c r="Q20" s="10" t="n">
        <f aca="false">$N20-$O20-$P20</f>
        <v>0</v>
      </c>
      <c r="R20" s="10" t="n">
        <f aca="false">SUMPRODUCT(('U11-U12 Scores'!$C$5:$C$64=$M20)*('U11-U12 Scores'!$D$5:$D$64&lt;&gt;"")*('U11-U12 Scores'!$E$5:$E$64&lt;&gt;"")*'U11-U12 Scores'!$D$5:$D$64)+SUMPRODUCT(('U11-U12 Scores'!$F$5:$F$64=$M20)*('U11-U12 Scores'!$D$5:$D$64&lt;&gt;"")*('U11-U12 Scores'!$E$5:$E$64&lt;&gt;"")*'U11-U12 Scores'!$E$5:$E$64)</f>
        <v>0</v>
      </c>
      <c r="S20" s="10" t="n">
        <f aca="false">SUMPRODUCT(('U11-U12 Scores'!$C$5:$C$64=$M20)*('U11-U12 Scores'!$D$5:$D$64&lt;&gt;"")*('U11-U12 Scores'!$E$5:$E$64&lt;&gt;"")*'U11-U12 Scores'!$E$5:$E$64)+SUMPRODUCT(('U11-U12 Scores'!$F$5:$F$64=$M20)*('U11-U12 Scores'!$D$5:$D$64&lt;&gt;"")*('U11-U12 Scores'!$E$5:$E$64&lt;&gt;"")*'U11-U12 Scores'!$D$5:$D$64)</f>
        <v>0</v>
      </c>
      <c r="T20" s="10" t="n">
        <f aca="false">$R20-$S20</f>
        <v>0</v>
      </c>
      <c r="U20" s="10" t="n">
        <f aca="false">3*$O20+$P20</f>
        <v>0</v>
      </c>
      <c r="V20" s="10" t="n">
        <f aca="false">$U20*1000000+($T20+500)*1000+$R20+(22-ROW())*0.01</f>
        <v>500000.02</v>
      </c>
    </row>
    <row r="21" customFormat="false" ht="15" hidden="false" customHeight="false" outlineLevel="0" collapsed="false">
      <c r="A21" s="21" t="n">
        <v>6</v>
      </c>
      <c r="B21" s="27" t="str">
        <f aca="false">INDEX($M$16:$M$21,$L21)</f>
        <v>USA</v>
      </c>
      <c r="C21" s="21" t="n">
        <f aca="false">INDEX($N$16:$N$21,$L21)</f>
        <v>0</v>
      </c>
      <c r="D21" s="21" t="n">
        <f aca="false">INDEX($O$16:$O$21,$L21)</f>
        <v>0</v>
      </c>
      <c r="E21" s="21" t="n">
        <f aca="false">INDEX($P$16:$P$21,$L21)</f>
        <v>0</v>
      </c>
      <c r="F21" s="21" t="n">
        <f aca="false">INDEX($Q$16:$Q$21,$L21)</f>
        <v>0</v>
      </c>
      <c r="G21" s="21" t="n">
        <f aca="false">INDEX($R$16:$R$21,$L21)</f>
        <v>0</v>
      </c>
      <c r="H21" s="21" t="n">
        <f aca="false">INDEX($S$16:$S$21,$L21)</f>
        <v>0</v>
      </c>
      <c r="I21" s="21" t="n">
        <f aca="false">INDEX($T$16:$T$21,$L21)</f>
        <v>0</v>
      </c>
      <c r="J21" s="28" t="n">
        <f aca="false">INDEX($U$16:$U$21,$L21)</f>
        <v>0</v>
      </c>
      <c r="L21" s="10" t="n">
        <f aca="false">MATCH(LARGE($V$16:$V$21,ROW()-15),$V$16:$V$21,0)</f>
        <v>6</v>
      </c>
      <c r="M21" s="10" t="s">
        <v>24</v>
      </c>
      <c r="N21" s="10" t="n">
        <f aca="false">SUMPRODUCT(('U11-U12 Scores'!$C$5:$C$64=$M21)*('U11-U12 Scores'!$D$5:$D$64&lt;&gt;"")*('U11-U12 Scores'!$E$5:$E$64&lt;&gt;""))+SUMPRODUCT(('U11-U12 Scores'!$F$5:$F$64=$M21)*('U11-U12 Scores'!$D$5:$D$64&lt;&gt;"")*('U11-U12 Scores'!$E$5:$E$64&lt;&gt;""))</f>
        <v>0</v>
      </c>
      <c r="O21" s="10" t="n">
        <f aca="false">SUMPRODUCT(('U11-U12 Scores'!$C$5:$C$64=$M21)*('U11-U12 Scores'!$D$5:$D$64&lt;&gt;"")*('U11-U12 Scores'!$E$5:$E$64&lt;&gt;"")*('U11-U12 Scores'!$D$5:$D$64&gt;'U11-U12 Scores'!$E$5:$E$64))+SUMPRODUCT(('U11-U12 Scores'!$F$5:$F$64=$M21)*('U11-U12 Scores'!$D$5:$D$64&lt;&gt;"")*('U11-U12 Scores'!$E$5:$E$64&lt;&gt;"")*('U11-U12 Scores'!$E$5:$E$64&gt;'U11-U12 Scores'!$D$5:$D$64))</f>
        <v>0</v>
      </c>
      <c r="P21" s="10" t="n">
        <f aca="false">SUMPRODUCT((('U11-U12 Scores'!$C$5:$C$64=$M21)+('U11-U12 Scores'!$F$5:$F$64=$M21))*('U11-U12 Scores'!$D$5:$D$64&lt;&gt;"")*('U11-U12 Scores'!$E$5:$E$64&lt;&gt;"")*('U11-U12 Scores'!$D$5:$D$64='U11-U12 Scores'!$E$5:$E$64))</f>
        <v>0</v>
      </c>
      <c r="Q21" s="10" t="n">
        <f aca="false">$N21-$O21-$P21</f>
        <v>0</v>
      </c>
      <c r="R21" s="10" t="n">
        <f aca="false">SUMPRODUCT(('U11-U12 Scores'!$C$5:$C$64=$M21)*('U11-U12 Scores'!$D$5:$D$64&lt;&gt;"")*('U11-U12 Scores'!$E$5:$E$64&lt;&gt;"")*'U11-U12 Scores'!$D$5:$D$64)+SUMPRODUCT(('U11-U12 Scores'!$F$5:$F$64=$M21)*('U11-U12 Scores'!$D$5:$D$64&lt;&gt;"")*('U11-U12 Scores'!$E$5:$E$64&lt;&gt;"")*'U11-U12 Scores'!$E$5:$E$64)</f>
        <v>0</v>
      </c>
      <c r="S21" s="10" t="n">
        <f aca="false">SUMPRODUCT(('U11-U12 Scores'!$C$5:$C$64=$M21)*('U11-U12 Scores'!$D$5:$D$64&lt;&gt;"")*('U11-U12 Scores'!$E$5:$E$64&lt;&gt;"")*'U11-U12 Scores'!$E$5:$E$64)+SUMPRODUCT(('U11-U12 Scores'!$F$5:$F$64=$M21)*('U11-U12 Scores'!$D$5:$D$64&lt;&gt;"")*('U11-U12 Scores'!$E$5:$E$64&lt;&gt;"")*'U11-U12 Scores'!$D$5:$D$64)</f>
        <v>0</v>
      </c>
      <c r="T21" s="10" t="n">
        <f aca="false">$R21-$S21</f>
        <v>0</v>
      </c>
      <c r="U21" s="10" t="n">
        <f aca="false">3*$O21+$P21</f>
        <v>0</v>
      </c>
      <c r="V21" s="10" t="n">
        <f aca="false">$U21*1000000+($T21+500)*1000+$R21+(22-ROW())*0.01</f>
        <v>500000.01</v>
      </c>
    </row>
  </sheetData>
  <mergeCells count="2">
    <mergeCell ref="A4:J4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K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true" outlineLevel="0" max="4" min="4" style="0" width="10"/>
    <col collapsed="false" customWidth="true" hidden="false" outlineLevel="0" max="5" min="5" style="0" width="3"/>
    <col collapsed="false" customWidth="true" hidden="false" outlineLevel="0" max="6" min="6" style="0" width="7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8"/>
    <col collapsed="false" customWidth="true" hidden="true" outlineLevel="0" max="11" min="11" style="0" width="13"/>
  </cols>
  <sheetData>
    <row r="1" customFormat="false" ht="19.7" hidden="false" customHeight="false" outlineLevel="0" collapsed="false">
      <c r="A1" s="14" t="s">
        <v>147</v>
      </c>
    </row>
    <row r="2" customFormat="false" ht="15" hidden="false" customHeight="false" outlineLevel="0" collapsed="false">
      <c r="A2" s="15" t="s">
        <v>104</v>
      </c>
    </row>
    <row r="3" customFormat="false" ht="15" hidden="false" customHeight="false" outlineLevel="0" collapsed="false">
      <c r="A3" s="15" t="s">
        <v>105</v>
      </c>
    </row>
    <row r="4" customFormat="false" ht="15" hidden="false" customHeight="false" outlineLevel="0" collapsed="false">
      <c r="A4" s="29" t="s">
        <v>106</v>
      </c>
      <c r="B4" s="29"/>
      <c r="F4" s="29" t="s">
        <v>107</v>
      </c>
      <c r="G4" s="29"/>
      <c r="H4" s="29"/>
      <c r="I4" s="29"/>
    </row>
    <row r="5" customFormat="false" ht="15" hidden="false" customHeight="false" outlineLevel="0" collapsed="false">
      <c r="A5" s="16" t="s">
        <v>108</v>
      </c>
      <c r="B5" s="16" t="s">
        <v>96</v>
      </c>
      <c r="F5" s="16" t="s">
        <v>109</v>
      </c>
      <c r="G5" s="16" t="s">
        <v>108</v>
      </c>
      <c r="H5" s="16" t="s">
        <v>96</v>
      </c>
      <c r="I5" s="16" t="s">
        <v>110</v>
      </c>
    </row>
    <row r="6" customFormat="false" ht="15" hidden="false" customHeight="false" outlineLevel="0" collapsed="false">
      <c r="A6" s="30"/>
      <c r="B6" s="30"/>
      <c r="D6" s="0" t="str">
        <f aca="false">IF($A6="","",IF(COUNTIF($A$6:$A6,$A6)=1,COUNTIF($A$6:$A$305,$A6)*10000+(9999-ROW()),""))</f>
        <v/>
      </c>
      <c r="F6" s="17" t="str">
        <f aca="false">IF($K6="","",ROW()-5)</f>
        <v/>
      </c>
      <c r="G6" s="31" t="str">
        <f aca="false">IF($K6="","",INDEX($A$6:$A$305,MATCH($K6,$D$6:$D$305,0)))</f>
        <v/>
      </c>
      <c r="H6" s="17" t="str">
        <f aca="false">IF($K6="","",INDEX($B$6:$B$305,MATCH($K6,$D$6:$D$305,0)))</f>
        <v/>
      </c>
      <c r="I6" s="26" t="str">
        <f aca="false">IF($K6="","",INT($K6/10000))</f>
        <v/>
      </c>
      <c r="K6" s="0" t="str">
        <f aca="false">IFERROR(LARGE($D$6:$D$305,ROW()-5),"")</f>
        <v/>
      </c>
    </row>
    <row r="7" customFormat="false" ht="15" hidden="false" customHeight="false" outlineLevel="0" collapsed="false">
      <c r="A7" s="30"/>
      <c r="B7" s="30"/>
      <c r="D7" s="0" t="str">
        <f aca="false">IF($A7="","",IF(COUNTIF($A$6:$A7,$A7)=1,COUNTIF($A$6:$A$305,$A7)*10000+(9999-ROW()),""))</f>
        <v/>
      </c>
      <c r="F7" s="21" t="str">
        <f aca="false">IF($K7="","",ROW()-5)</f>
        <v/>
      </c>
      <c r="G7" s="32" t="str">
        <f aca="false">IF($K7="","",INDEX($A$6:$A$305,MATCH($K7,$D$6:$D$305,0)))</f>
        <v/>
      </c>
      <c r="H7" s="21" t="str">
        <f aca="false">IF($K7="","",INDEX($B$6:$B$305,MATCH($K7,$D$6:$D$305,0)))</f>
        <v/>
      </c>
      <c r="I7" s="28" t="str">
        <f aca="false">IF($K7="","",INT($K7/10000))</f>
        <v/>
      </c>
      <c r="K7" s="0" t="str">
        <f aca="false">IFERROR(LARGE($D$6:$D$305,ROW()-5),"")</f>
        <v/>
      </c>
    </row>
    <row r="8" customFormat="false" ht="15" hidden="false" customHeight="false" outlineLevel="0" collapsed="false">
      <c r="A8" s="30"/>
      <c r="B8" s="30"/>
      <c r="D8" s="0" t="str">
        <f aca="false">IF($A8="","",IF(COUNTIF($A$6:$A8,$A8)=1,COUNTIF($A$6:$A$305,$A8)*10000+(9999-ROW()),""))</f>
        <v/>
      </c>
      <c r="F8" s="17" t="str">
        <f aca="false">IF($K8="","",ROW()-5)</f>
        <v/>
      </c>
      <c r="G8" s="31" t="str">
        <f aca="false">IF($K8="","",INDEX($A$6:$A$305,MATCH($K8,$D$6:$D$305,0)))</f>
        <v/>
      </c>
      <c r="H8" s="17" t="str">
        <f aca="false">IF($K8="","",INDEX($B$6:$B$305,MATCH($K8,$D$6:$D$305,0)))</f>
        <v/>
      </c>
      <c r="I8" s="26" t="str">
        <f aca="false">IF($K8="","",INT($K8/10000))</f>
        <v/>
      </c>
      <c r="K8" s="0" t="str">
        <f aca="false">IFERROR(LARGE($D$6:$D$305,ROW()-5),"")</f>
        <v/>
      </c>
    </row>
    <row r="9" customFormat="false" ht="15" hidden="false" customHeight="false" outlineLevel="0" collapsed="false">
      <c r="A9" s="30"/>
      <c r="B9" s="30"/>
      <c r="D9" s="0" t="str">
        <f aca="false">IF($A9="","",IF(COUNTIF($A$6:$A9,$A9)=1,COUNTIF($A$6:$A$305,$A9)*10000+(9999-ROW()),""))</f>
        <v/>
      </c>
      <c r="F9" s="21" t="str">
        <f aca="false">IF($K9="","",ROW()-5)</f>
        <v/>
      </c>
      <c r="G9" s="32" t="str">
        <f aca="false">IF($K9="","",INDEX($A$6:$A$305,MATCH($K9,$D$6:$D$305,0)))</f>
        <v/>
      </c>
      <c r="H9" s="21" t="str">
        <f aca="false">IF($K9="","",INDEX($B$6:$B$305,MATCH($K9,$D$6:$D$305,0)))</f>
        <v/>
      </c>
      <c r="I9" s="28" t="str">
        <f aca="false">IF($K9="","",INT($K9/10000))</f>
        <v/>
      </c>
      <c r="K9" s="0" t="str">
        <f aca="false">IFERROR(LARGE($D$6:$D$305,ROW()-5),"")</f>
        <v/>
      </c>
    </row>
    <row r="10" customFormat="false" ht="15" hidden="false" customHeight="false" outlineLevel="0" collapsed="false">
      <c r="A10" s="30"/>
      <c r="B10" s="30"/>
      <c r="D10" s="0" t="str">
        <f aca="false">IF($A10="","",IF(COUNTIF($A$6:$A10,$A10)=1,COUNTIF($A$6:$A$305,$A10)*10000+(9999-ROW()),""))</f>
        <v/>
      </c>
      <c r="F10" s="17" t="str">
        <f aca="false">IF($K10="","",ROW()-5)</f>
        <v/>
      </c>
      <c r="G10" s="31" t="str">
        <f aca="false">IF($K10="","",INDEX($A$6:$A$305,MATCH($K10,$D$6:$D$305,0)))</f>
        <v/>
      </c>
      <c r="H10" s="17" t="str">
        <f aca="false">IF($K10="","",INDEX($B$6:$B$305,MATCH($K10,$D$6:$D$305,0)))</f>
        <v/>
      </c>
      <c r="I10" s="26" t="str">
        <f aca="false">IF($K10="","",INT($K10/10000))</f>
        <v/>
      </c>
      <c r="K10" s="0" t="str">
        <f aca="false">IFERROR(LARGE($D$6:$D$305,ROW()-5),"")</f>
        <v/>
      </c>
    </row>
    <row r="11" customFormat="false" ht="15" hidden="false" customHeight="false" outlineLevel="0" collapsed="false">
      <c r="A11" s="30"/>
      <c r="B11" s="30"/>
      <c r="D11" s="0" t="str">
        <f aca="false">IF($A11="","",IF(COUNTIF($A$6:$A11,$A11)=1,COUNTIF($A$6:$A$305,$A11)*10000+(9999-ROW()),""))</f>
        <v/>
      </c>
      <c r="F11" s="21" t="str">
        <f aca="false">IF($K11="","",ROW()-5)</f>
        <v/>
      </c>
      <c r="G11" s="32" t="str">
        <f aca="false">IF($K11="","",INDEX($A$6:$A$305,MATCH($K11,$D$6:$D$305,0)))</f>
        <v/>
      </c>
      <c r="H11" s="21" t="str">
        <f aca="false">IF($K11="","",INDEX($B$6:$B$305,MATCH($K11,$D$6:$D$305,0)))</f>
        <v/>
      </c>
      <c r="I11" s="28" t="str">
        <f aca="false">IF($K11="","",INT($K11/10000))</f>
        <v/>
      </c>
      <c r="K11" s="0" t="str">
        <f aca="false">IFERROR(LARGE($D$6:$D$305,ROW()-5),"")</f>
        <v/>
      </c>
    </row>
    <row r="12" customFormat="false" ht="15" hidden="false" customHeight="false" outlineLevel="0" collapsed="false">
      <c r="A12" s="30"/>
      <c r="B12" s="30"/>
      <c r="D12" s="0" t="str">
        <f aca="false">IF($A12="","",IF(COUNTIF($A$6:$A12,$A12)=1,COUNTIF($A$6:$A$305,$A12)*10000+(9999-ROW()),""))</f>
        <v/>
      </c>
      <c r="F12" s="17" t="str">
        <f aca="false">IF($K12="","",ROW()-5)</f>
        <v/>
      </c>
      <c r="G12" s="31" t="str">
        <f aca="false">IF($K12="","",INDEX($A$6:$A$305,MATCH($K12,$D$6:$D$305,0)))</f>
        <v/>
      </c>
      <c r="H12" s="17" t="str">
        <f aca="false">IF($K12="","",INDEX($B$6:$B$305,MATCH($K12,$D$6:$D$305,0)))</f>
        <v/>
      </c>
      <c r="I12" s="26" t="str">
        <f aca="false">IF($K12="","",INT($K12/10000))</f>
        <v/>
      </c>
      <c r="K12" s="0" t="str">
        <f aca="false">IFERROR(LARGE($D$6:$D$305,ROW()-5),"")</f>
        <v/>
      </c>
    </row>
    <row r="13" customFormat="false" ht="15" hidden="false" customHeight="false" outlineLevel="0" collapsed="false">
      <c r="A13" s="30"/>
      <c r="B13" s="30"/>
      <c r="D13" s="0" t="str">
        <f aca="false">IF($A13="","",IF(COUNTIF($A$6:$A13,$A13)=1,COUNTIF($A$6:$A$305,$A13)*10000+(9999-ROW()),""))</f>
        <v/>
      </c>
      <c r="F13" s="21" t="str">
        <f aca="false">IF($K13="","",ROW()-5)</f>
        <v/>
      </c>
      <c r="G13" s="32" t="str">
        <f aca="false">IF($K13="","",INDEX($A$6:$A$305,MATCH($K13,$D$6:$D$305,0)))</f>
        <v/>
      </c>
      <c r="H13" s="21" t="str">
        <f aca="false">IF($K13="","",INDEX($B$6:$B$305,MATCH($K13,$D$6:$D$305,0)))</f>
        <v/>
      </c>
      <c r="I13" s="28" t="str">
        <f aca="false">IF($K13="","",INT($K13/10000))</f>
        <v/>
      </c>
      <c r="K13" s="0" t="str">
        <f aca="false">IFERROR(LARGE($D$6:$D$305,ROW()-5),"")</f>
        <v/>
      </c>
    </row>
    <row r="14" customFormat="false" ht="15" hidden="false" customHeight="false" outlineLevel="0" collapsed="false">
      <c r="A14" s="30"/>
      <c r="B14" s="30"/>
      <c r="D14" s="0" t="str">
        <f aca="false">IF($A14="","",IF(COUNTIF($A$6:$A14,$A14)=1,COUNTIF($A$6:$A$305,$A14)*10000+(9999-ROW()),""))</f>
        <v/>
      </c>
      <c r="F14" s="17" t="str">
        <f aca="false">IF($K14="","",ROW()-5)</f>
        <v/>
      </c>
      <c r="G14" s="31" t="str">
        <f aca="false">IF($K14="","",INDEX($A$6:$A$305,MATCH($K14,$D$6:$D$305,0)))</f>
        <v/>
      </c>
      <c r="H14" s="17" t="str">
        <f aca="false">IF($K14="","",INDEX($B$6:$B$305,MATCH($K14,$D$6:$D$305,0)))</f>
        <v/>
      </c>
      <c r="I14" s="26" t="str">
        <f aca="false">IF($K14="","",INT($K14/10000))</f>
        <v/>
      </c>
      <c r="K14" s="0" t="str">
        <f aca="false">IFERROR(LARGE($D$6:$D$305,ROW()-5),"")</f>
        <v/>
      </c>
    </row>
    <row r="15" customFormat="false" ht="15" hidden="false" customHeight="false" outlineLevel="0" collapsed="false">
      <c r="A15" s="30"/>
      <c r="B15" s="30"/>
      <c r="D15" s="0" t="str">
        <f aca="false">IF($A15="","",IF(COUNTIF($A$6:$A15,$A15)=1,COUNTIF($A$6:$A$305,$A15)*10000+(9999-ROW()),""))</f>
        <v/>
      </c>
      <c r="F15" s="21" t="str">
        <f aca="false">IF($K15="","",ROW()-5)</f>
        <v/>
      </c>
      <c r="G15" s="32" t="str">
        <f aca="false">IF($K15="","",INDEX($A$6:$A$305,MATCH($K15,$D$6:$D$305,0)))</f>
        <v/>
      </c>
      <c r="H15" s="21" t="str">
        <f aca="false">IF($K15="","",INDEX($B$6:$B$305,MATCH($K15,$D$6:$D$305,0)))</f>
        <v/>
      </c>
      <c r="I15" s="28" t="str">
        <f aca="false">IF($K15="","",INT($K15/10000))</f>
        <v/>
      </c>
      <c r="K15" s="0" t="str">
        <f aca="false">IFERROR(LARGE($D$6:$D$305,ROW()-5),"")</f>
        <v/>
      </c>
    </row>
    <row r="16" customFormat="false" ht="15" hidden="false" customHeight="false" outlineLevel="0" collapsed="false">
      <c r="A16" s="30"/>
      <c r="B16" s="30"/>
      <c r="D16" s="0" t="str">
        <f aca="false">IF($A16="","",IF(COUNTIF($A$6:$A16,$A16)=1,COUNTIF($A$6:$A$305,$A16)*10000+(9999-ROW()),""))</f>
        <v/>
      </c>
      <c r="F16" s="17" t="str">
        <f aca="false">IF($K16="","",ROW()-5)</f>
        <v/>
      </c>
      <c r="G16" s="31" t="str">
        <f aca="false">IF($K16="","",INDEX($A$6:$A$305,MATCH($K16,$D$6:$D$305,0)))</f>
        <v/>
      </c>
      <c r="H16" s="17" t="str">
        <f aca="false">IF($K16="","",INDEX($B$6:$B$305,MATCH($K16,$D$6:$D$305,0)))</f>
        <v/>
      </c>
      <c r="I16" s="26" t="str">
        <f aca="false">IF($K16="","",INT($K16/10000))</f>
        <v/>
      </c>
      <c r="K16" s="0" t="str">
        <f aca="false">IFERROR(LARGE($D$6:$D$305,ROW()-5),"")</f>
        <v/>
      </c>
    </row>
    <row r="17" customFormat="false" ht="15" hidden="false" customHeight="false" outlineLevel="0" collapsed="false">
      <c r="A17" s="30"/>
      <c r="B17" s="30"/>
      <c r="D17" s="0" t="str">
        <f aca="false">IF($A17="","",IF(COUNTIF($A$6:$A17,$A17)=1,COUNTIF($A$6:$A$305,$A17)*10000+(9999-ROW()),""))</f>
        <v/>
      </c>
      <c r="F17" s="21" t="str">
        <f aca="false">IF($K17="","",ROW()-5)</f>
        <v/>
      </c>
      <c r="G17" s="32" t="str">
        <f aca="false">IF($K17="","",INDEX($A$6:$A$305,MATCH($K17,$D$6:$D$305,0)))</f>
        <v/>
      </c>
      <c r="H17" s="21" t="str">
        <f aca="false">IF($K17="","",INDEX($B$6:$B$305,MATCH($K17,$D$6:$D$305,0)))</f>
        <v/>
      </c>
      <c r="I17" s="28" t="str">
        <f aca="false">IF($K17="","",INT($K17/10000))</f>
        <v/>
      </c>
      <c r="K17" s="0" t="str">
        <f aca="false">IFERROR(LARGE($D$6:$D$305,ROW()-5),"")</f>
        <v/>
      </c>
    </row>
    <row r="18" customFormat="false" ht="15" hidden="false" customHeight="false" outlineLevel="0" collapsed="false">
      <c r="A18" s="30"/>
      <c r="B18" s="30"/>
      <c r="D18" s="0" t="str">
        <f aca="false">IF($A18="","",IF(COUNTIF($A$6:$A18,$A18)=1,COUNTIF($A$6:$A$305,$A18)*10000+(9999-ROW()),""))</f>
        <v/>
      </c>
      <c r="F18" s="17" t="str">
        <f aca="false">IF($K18="","",ROW()-5)</f>
        <v/>
      </c>
      <c r="G18" s="31" t="str">
        <f aca="false">IF($K18="","",INDEX($A$6:$A$305,MATCH($K18,$D$6:$D$305,0)))</f>
        <v/>
      </c>
      <c r="H18" s="17" t="str">
        <f aca="false">IF($K18="","",INDEX($B$6:$B$305,MATCH($K18,$D$6:$D$305,0)))</f>
        <v/>
      </c>
      <c r="I18" s="26" t="str">
        <f aca="false">IF($K18="","",INT($K18/10000))</f>
        <v/>
      </c>
      <c r="K18" s="0" t="str">
        <f aca="false">IFERROR(LARGE($D$6:$D$305,ROW()-5),"")</f>
        <v/>
      </c>
    </row>
    <row r="19" customFormat="false" ht="15" hidden="false" customHeight="false" outlineLevel="0" collapsed="false">
      <c r="A19" s="30"/>
      <c r="B19" s="30"/>
      <c r="D19" s="0" t="str">
        <f aca="false">IF($A19="","",IF(COUNTIF($A$6:$A19,$A19)=1,COUNTIF($A$6:$A$305,$A19)*10000+(9999-ROW()),""))</f>
        <v/>
      </c>
      <c r="F19" s="21" t="str">
        <f aca="false">IF($K19="","",ROW()-5)</f>
        <v/>
      </c>
      <c r="G19" s="32" t="str">
        <f aca="false">IF($K19="","",INDEX($A$6:$A$305,MATCH($K19,$D$6:$D$305,0)))</f>
        <v/>
      </c>
      <c r="H19" s="21" t="str">
        <f aca="false">IF($K19="","",INDEX($B$6:$B$305,MATCH($K19,$D$6:$D$305,0)))</f>
        <v/>
      </c>
      <c r="I19" s="28" t="str">
        <f aca="false">IF($K19="","",INT($K19/10000))</f>
        <v/>
      </c>
      <c r="K19" s="0" t="str">
        <f aca="false">IFERROR(LARGE($D$6:$D$305,ROW()-5),"")</f>
        <v/>
      </c>
    </row>
    <row r="20" customFormat="false" ht="15" hidden="false" customHeight="false" outlineLevel="0" collapsed="false">
      <c r="A20" s="30"/>
      <c r="B20" s="30"/>
      <c r="D20" s="0" t="str">
        <f aca="false">IF($A20="","",IF(COUNTIF($A$6:$A20,$A20)=1,COUNTIF($A$6:$A$305,$A20)*10000+(9999-ROW()),""))</f>
        <v/>
      </c>
      <c r="F20" s="17" t="str">
        <f aca="false">IF($K20="","",ROW()-5)</f>
        <v/>
      </c>
      <c r="G20" s="31" t="str">
        <f aca="false">IF($K20="","",INDEX($A$6:$A$305,MATCH($K20,$D$6:$D$305,0)))</f>
        <v/>
      </c>
      <c r="H20" s="17" t="str">
        <f aca="false">IF($K20="","",INDEX($B$6:$B$305,MATCH($K20,$D$6:$D$305,0)))</f>
        <v/>
      </c>
      <c r="I20" s="26" t="str">
        <f aca="false">IF($K20="","",INT($K20/10000))</f>
        <v/>
      </c>
      <c r="K20" s="0" t="str">
        <f aca="false">IFERROR(LARGE($D$6:$D$305,ROW()-5),"")</f>
        <v/>
      </c>
    </row>
    <row r="21" customFormat="false" ht="15" hidden="false" customHeight="false" outlineLevel="0" collapsed="false">
      <c r="A21" s="30"/>
      <c r="B21" s="30"/>
      <c r="D21" s="0" t="str">
        <f aca="false">IF($A21="","",IF(COUNTIF($A$6:$A21,$A21)=1,COUNTIF($A$6:$A$305,$A21)*10000+(9999-ROW()),""))</f>
        <v/>
      </c>
      <c r="F21" s="21" t="str">
        <f aca="false">IF($K21="","",ROW()-5)</f>
        <v/>
      </c>
      <c r="G21" s="32" t="str">
        <f aca="false">IF($K21="","",INDEX($A$6:$A$305,MATCH($K21,$D$6:$D$305,0)))</f>
        <v/>
      </c>
      <c r="H21" s="21" t="str">
        <f aca="false">IF($K21="","",INDEX($B$6:$B$305,MATCH($K21,$D$6:$D$305,0)))</f>
        <v/>
      </c>
      <c r="I21" s="28" t="str">
        <f aca="false">IF($K21="","",INT($K21/10000))</f>
        <v/>
      </c>
      <c r="K21" s="0" t="str">
        <f aca="false">IFERROR(LARGE($D$6:$D$305,ROW()-5),"")</f>
        <v/>
      </c>
    </row>
    <row r="22" customFormat="false" ht="15" hidden="false" customHeight="false" outlineLevel="0" collapsed="false">
      <c r="A22" s="30"/>
      <c r="B22" s="30"/>
      <c r="D22" s="0" t="str">
        <f aca="false">IF($A22="","",IF(COUNTIF($A$6:$A22,$A22)=1,COUNTIF($A$6:$A$305,$A22)*10000+(9999-ROW()),""))</f>
        <v/>
      </c>
      <c r="F22" s="17" t="str">
        <f aca="false">IF($K22="","",ROW()-5)</f>
        <v/>
      </c>
      <c r="G22" s="31" t="str">
        <f aca="false">IF($K22="","",INDEX($A$6:$A$305,MATCH($K22,$D$6:$D$305,0)))</f>
        <v/>
      </c>
      <c r="H22" s="17" t="str">
        <f aca="false">IF($K22="","",INDEX($B$6:$B$305,MATCH($K22,$D$6:$D$305,0)))</f>
        <v/>
      </c>
      <c r="I22" s="26" t="str">
        <f aca="false">IF($K22="","",INT($K22/10000))</f>
        <v/>
      </c>
      <c r="K22" s="0" t="str">
        <f aca="false">IFERROR(LARGE($D$6:$D$305,ROW()-5),"")</f>
        <v/>
      </c>
    </row>
    <row r="23" customFormat="false" ht="15" hidden="false" customHeight="false" outlineLevel="0" collapsed="false">
      <c r="A23" s="30"/>
      <c r="B23" s="30"/>
      <c r="D23" s="0" t="str">
        <f aca="false">IF($A23="","",IF(COUNTIF($A$6:$A23,$A23)=1,COUNTIF($A$6:$A$305,$A23)*10000+(9999-ROW()),""))</f>
        <v/>
      </c>
      <c r="F23" s="21" t="str">
        <f aca="false">IF($K23="","",ROW()-5)</f>
        <v/>
      </c>
      <c r="G23" s="32" t="str">
        <f aca="false">IF($K23="","",INDEX($A$6:$A$305,MATCH($K23,$D$6:$D$305,0)))</f>
        <v/>
      </c>
      <c r="H23" s="21" t="str">
        <f aca="false">IF($K23="","",INDEX($B$6:$B$305,MATCH($K23,$D$6:$D$305,0)))</f>
        <v/>
      </c>
      <c r="I23" s="28" t="str">
        <f aca="false">IF($K23="","",INT($K23/10000))</f>
        <v/>
      </c>
      <c r="K23" s="0" t="str">
        <f aca="false">IFERROR(LARGE($D$6:$D$305,ROW()-5),"")</f>
        <v/>
      </c>
    </row>
    <row r="24" customFormat="false" ht="15" hidden="false" customHeight="false" outlineLevel="0" collapsed="false">
      <c r="A24" s="30"/>
      <c r="B24" s="30"/>
      <c r="D24" s="0" t="str">
        <f aca="false">IF($A24="","",IF(COUNTIF($A$6:$A24,$A24)=1,COUNTIF($A$6:$A$305,$A24)*10000+(9999-ROW()),""))</f>
        <v/>
      </c>
      <c r="F24" s="17" t="str">
        <f aca="false">IF($K24="","",ROW()-5)</f>
        <v/>
      </c>
      <c r="G24" s="31" t="str">
        <f aca="false">IF($K24="","",INDEX($A$6:$A$305,MATCH($K24,$D$6:$D$305,0)))</f>
        <v/>
      </c>
      <c r="H24" s="17" t="str">
        <f aca="false">IF($K24="","",INDEX($B$6:$B$305,MATCH($K24,$D$6:$D$305,0)))</f>
        <v/>
      </c>
      <c r="I24" s="26" t="str">
        <f aca="false">IF($K24="","",INT($K24/10000))</f>
        <v/>
      </c>
      <c r="K24" s="0" t="str">
        <f aca="false">IFERROR(LARGE($D$6:$D$305,ROW()-5),"")</f>
        <v/>
      </c>
    </row>
    <row r="25" customFormat="false" ht="15" hidden="false" customHeight="false" outlineLevel="0" collapsed="false">
      <c r="A25" s="30"/>
      <c r="B25" s="30"/>
      <c r="D25" s="0" t="str">
        <f aca="false">IF($A25="","",IF(COUNTIF($A$6:$A25,$A25)=1,COUNTIF($A$6:$A$305,$A25)*10000+(9999-ROW()),""))</f>
        <v/>
      </c>
      <c r="F25" s="21" t="str">
        <f aca="false">IF($K25="","",ROW()-5)</f>
        <v/>
      </c>
      <c r="G25" s="32" t="str">
        <f aca="false">IF($K25="","",INDEX($A$6:$A$305,MATCH($K25,$D$6:$D$305,0)))</f>
        <v/>
      </c>
      <c r="H25" s="21" t="str">
        <f aca="false">IF($K25="","",INDEX($B$6:$B$305,MATCH($K25,$D$6:$D$305,0)))</f>
        <v/>
      </c>
      <c r="I25" s="28" t="str">
        <f aca="false">IF($K25="","",INT($K25/10000))</f>
        <v/>
      </c>
      <c r="K25" s="0" t="str">
        <f aca="false">IFERROR(LARGE($D$6:$D$305,ROW()-5),"")</f>
        <v/>
      </c>
    </row>
    <row r="26" customFormat="false" ht="15" hidden="false" customHeight="false" outlineLevel="0" collapsed="false">
      <c r="A26" s="30"/>
      <c r="B26" s="30"/>
      <c r="D26" s="0" t="str">
        <f aca="false">IF($A26="","",IF(COUNTIF($A$6:$A26,$A26)=1,COUNTIF($A$6:$A$305,$A26)*10000+(9999-ROW()),""))</f>
        <v/>
      </c>
    </row>
    <row r="27" customFormat="false" ht="15" hidden="false" customHeight="false" outlineLevel="0" collapsed="false">
      <c r="A27" s="30"/>
      <c r="B27" s="30"/>
      <c r="D27" s="0" t="str">
        <f aca="false">IF($A27="","",IF(COUNTIF($A$6:$A27,$A27)=1,COUNTIF($A$6:$A$305,$A27)*10000+(9999-ROW()),""))</f>
        <v/>
      </c>
    </row>
    <row r="28" customFormat="false" ht="15" hidden="false" customHeight="false" outlineLevel="0" collapsed="false">
      <c r="A28" s="30"/>
      <c r="B28" s="30"/>
      <c r="D28" s="0" t="str">
        <f aca="false">IF($A28="","",IF(COUNTIF($A$6:$A28,$A28)=1,COUNTIF($A$6:$A$305,$A28)*10000+(9999-ROW()),""))</f>
        <v/>
      </c>
    </row>
    <row r="29" customFormat="false" ht="15" hidden="false" customHeight="false" outlineLevel="0" collapsed="false">
      <c r="A29" s="30"/>
      <c r="B29" s="30"/>
      <c r="D29" s="0" t="str">
        <f aca="false">IF($A29="","",IF(COUNTIF($A$6:$A29,$A29)=1,COUNTIF($A$6:$A$305,$A29)*10000+(9999-ROW()),""))</f>
        <v/>
      </c>
    </row>
    <row r="30" customFormat="false" ht="15" hidden="false" customHeight="false" outlineLevel="0" collapsed="false">
      <c r="A30" s="30"/>
      <c r="B30" s="30"/>
      <c r="D30" s="0" t="str">
        <f aca="false">IF($A30="","",IF(COUNTIF($A$6:$A30,$A30)=1,COUNTIF($A$6:$A$305,$A30)*10000+(9999-ROW()),""))</f>
        <v/>
      </c>
    </row>
    <row r="31" customFormat="false" ht="15" hidden="false" customHeight="false" outlineLevel="0" collapsed="false">
      <c r="A31" s="30"/>
      <c r="B31" s="30"/>
      <c r="D31" s="0" t="str">
        <f aca="false">IF($A31="","",IF(COUNTIF($A$6:$A31,$A31)=1,COUNTIF($A$6:$A$305,$A31)*10000+(9999-ROW()),""))</f>
        <v/>
      </c>
    </row>
    <row r="32" customFormat="false" ht="15" hidden="false" customHeight="false" outlineLevel="0" collapsed="false">
      <c r="A32" s="30"/>
      <c r="B32" s="30"/>
      <c r="D32" s="0" t="str">
        <f aca="false">IF($A32="","",IF(COUNTIF($A$6:$A32,$A32)=1,COUNTIF($A$6:$A$305,$A32)*10000+(9999-ROW()),""))</f>
        <v/>
      </c>
    </row>
    <row r="33" customFormat="false" ht="15" hidden="false" customHeight="false" outlineLevel="0" collapsed="false">
      <c r="A33" s="30"/>
      <c r="B33" s="30"/>
      <c r="D33" s="0" t="str">
        <f aca="false">IF($A33="","",IF(COUNTIF($A$6:$A33,$A33)=1,COUNTIF($A$6:$A$305,$A33)*10000+(9999-ROW()),""))</f>
        <v/>
      </c>
    </row>
    <row r="34" customFormat="false" ht="15" hidden="false" customHeight="false" outlineLevel="0" collapsed="false">
      <c r="A34" s="30"/>
      <c r="B34" s="30"/>
      <c r="D34" s="0" t="str">
        <f aca="false">IF($A34="","",IF(COUNTIF($A$6:$A34,$A34)=1,COUNTIF($A$6:$A$305,$A34)*10000+(9999-ROW()),""))</f>
        <v/>
      </c>
    </row>
    <row r="35" customFormat="false" ht="15" hidden="false" customHeight="false" outlineLevel="0" collapsed="false">
      <c r="A35" s="30"/>
      <c r="B35" s="30"/>
      <c r="D35" s="0" t="str">
        <f aca="false">IF($A35="","",IF(COUNTIF($A$6:$A35,$A35)=1,COUNTIF($A$6:$A$305,$A35)*10000+(9999-ROW()),""))</f>
        <v/>
      </c>
    </row>
    <row r="36" customFormat="false" ht="15" hidden="false" customHeight="false" outlineLevel="0" collapsed="false">
      <c r="A36" s="30"/>
      <c r="B36" s="30"/>
      <c r="D36" s="0" t="str">
        <f aca="false">IF($A36="","",IF(COUNTIF($A$6:$A36,$A36)=1,COUNTIF($A$6:$A$305,$A36)*10000+(9999-ROW()),""))</f>
        <v/>
      </c>
    </row>
    <row r="37" customFormat="false" ht="15" hidden="false" customHeight="false" outlineLevel="0" collapsed="false">
      <c r="A37" s="30"/>
      <c r="B37" s="30"/>
      <c r="D37" s="0" t="str">
        <f aca="false">IF($A37="","",IF(COUNTIF($A$6:$A37,$A37)=1,COUNTIF($A$6:$A$305,$A37)*10000+(9999-ROW()),""))</f>
        <v/>
      </c>
    </row>
    <row r="38" customFormat="false" ht="15" hidden="false" customHeight="false" outlineLevel="0" collapsed="false">
      <c r="A38" s="30"/>
      <c r="B38" s="30"/>
      <c r="D38" s="0" t="str">
        <f aca="false">IF($A38="","",IF(COUNTIF($A$6:$A38,$A38)=1,COUNTIF($A$6:$A$305,$A38)*10000+(9999-ROW()),""))</f>
        <v/>
      </c>
    </row>
    <row r="39" customFormat="false" ht="15" hidden="false" customHeight="false" outlineLevel="0" collapsed="false">
      <c r="A39" s="30"/>
      <c r="B39" s="30"/>
      <c r="D39" s="0" t="str">
        <f aca="false">IF($A39="","",IF(COUNTIF($A$6:$A39,$A39)=1,COUNTIF($A$6:$A$305,$A39)*10000+(9999-ROW()),""))</f>
        <v/>
      </c>
    </row>
    <row r="40" customFormat="false" ht="15" hidden="false" customHeight="false" outlineLevel="0" collapsed="false">
      <c r="A40" s="30"/>
      <c r="B40" s="30"/>
      <c r="D40" s="0" t="str">
        <f aca="false">IF($A40="","",IF(COUNTIF($A$6:$A40,$A40)=1,COUNTIF($A$6:$A$305,$A40)*10000+(9999-ROW()),""))</f>
        <v/>
      </c>
    </row>
    <row r="41" customFormat="false" ht="15" hidden="false" customHeight="false" outlineLevel="0" collapsed="false">
      <c r="A41" s="30"/>
      <c r="B41" s="30"/>
      <c r="D41" s="0" t="str">
        <f aca="false">IF($A41="","",IF(COUNTIF($A$6:$A41,$A41)=1,COUNTIF($A$6:$A$305,$A41)*10000+(9999-ROW()),""))</f>
        <v/>
      </c>
    </row>
    <row r="42" customFormat="false" ht="15" hidden="false" customHeight="false" outlineLevel="0" collapsed="false">
      <c r="A42" s="30"/>
      <c r="B42" s="30"/>
      <c r="D42" s="0" t="str">
        <f aca="false">IF($A42="","",IF(COUNTIF($A$6:$A42,$A42)=1,COUNTIF($A$6:$A$305,$A42)*10000+(9999-ROW()),""))</f>
        <v/>
      </c>
    </row>
    <row r="43" customFormat="false" ht="15" hidden="false" customHeight="false" outlineLevel="0" collapsed="false">
      <c r="A43" s="30"/>
      <c r="B43" s="30"/>
      <c r="D43" s="0" t="str">
        <f aca="false">IF($A43="","",IF(COUNTIF($A$6:$A43,$A43)=1,COUNTIF($A$6:$A$305,$A43)*10000+(9999-ROW()),""))</f>
        <v/>
      </c>
    </row>
    <row r="44" customFormat="false" ht="15" hidden="false" customHeight="false" outlineLevel="0" collapsed="false">
      <c r="A44" s="30"/>
      <c r="B44" s="30"/>
      <c r="D44" s="0" t="str">
        <f aca="false">IF($A44="","",IF(COUNTIF($A$6:$A44,$A44)=1,COUNTIF($A$6:$A$305,$A44)*10000+(9999-ROW()),""))</f>
        <v/>
      </c>
    </row>
    <row r="45" customFormat="false" ht="15" hidden="false" customHeight="false" outlineLevel="0" collapsed="false">
      <c r="A45" s="30"/>
      <c r="B45" s="30"/>
      <c r="D45" s="0" t="str">
        <f aca="false">IF($A45="","",IF(COUNTIF($A$6:$A45,$A45)=1,COUNTIF($A$6:$A$305,$A45)*10000+(9999-ROW()),""))</f>
        <v/>
      </c>
    </row>
    <row r="46" customFormat="false" ht="15" hidden="false" customHeight="false" outlineLevel="0" collapsed="false">
      <c r="A46" s="30"/>
      <c r="B46" s="30"/>
      <c r="D46" s="0" t="str">
        <f aca="false">IF($A46="","",IF(COUNTIF($A$6:$A46,$A46)=1,COUNTIF($A$6:$A$305,$A46)*10000+(9999-ROW()),""))</f>
        <v/>
      </c>
    </row>
    <row r="47" customFormat="false" ht="15" hidden="false" customHeight="false" outlineLevel="0" collapsed="false">
      <c r="A47" s="30"/>
      <c r="B47" s="30"/>
      <c r="D47" s="0" t="str">
        <f aca="false">IF($A47="","",IF(COUNTIF($A$6:$A47,$A47)=1,COUNTIF($A$6:$A$305,$A47)*10000+(9999-ROW()),""))</f>
        <v/>
      </c>
    </row>
    <row r="48" customFormat="false" ht="15" hidden="false" customHeight="false" outlineLevel="0" collapsed="false">
      <c r="A48" s="30"/>
      <c r="B48" s="30"/>
      <c r="D48" s="0" t="str">
        <f aca="false">IF($A48="","",IF(COUNTIF($A$6:$A48,$A48)=1,COUNTIF($A$6:$A$305,$A48)*10000+(9999-ROW()),""))</f>
        <v/>
      </c>
    </row>
    <row r="49" customFormat="false" ht="15" hidden="false" customHeight="false" outlineLevel="0" collapsed="false">
      <c r="A49" s="30"/>
      <c r="B49" s="30"/>
      <c r="D49" s="0" t="str">
        <f aca="false">IF($A49="","",IF(COUNTIF($A$6:$A49,$A49)=1,COUNTIF($A$6:$A$305,$A49)*10000+(9999-ROW()),""))</f>
        <v/>
      </c>
    </row>
    <row r="50" customFormat="false" ht="15" hidden="false" customHeight="false" outlineLevel="0" collapsed="false">
      <c r="A50" s="30"/>
      <c r="B50" s="30"/>
      <c r="D50" s="0" t="str">
        <f aca="false">IF($A50="","",IF(COUNTIF($A$6:$A50,$A50)=1,COUNTIF($A$6:$A$305,$A50)*10000+(9999-ROW()),""))</f>
        <v/>
      </c>
    </row>
    <row r="51" customFormat="false" ht="15" hidden="false" customHeight="false" outlineLevel="0" collapsed="false">
      <c r="A51" s="30"/>
      <c r="B51" s="30"/>
      <c r="D51" s="0" t="str">
        <f aca="false">IF($A51="","",IF(COUNTIF($A$6:$A51,$A51)=1,COUNTIF($A$6:$A$305,$A51)*10000+(9999-ROW()),""))</f>
        <v/>
      </c>
    </row>
    <row r="52" customFormat="false" ht="15" hidden="false" customHeight="false" outlineLevel="0" collapsed="false">
      <c r="A52" s="30"/>
      <c r="B52" s="30"/>
      <c r="D52" s="0" t="str">
        <f aca="false">IF($A52="","",IF(COUNTIF($A$6:$A52,$A52)=1,COUNTIF($A$6:$A$305,$A52)*10000+(9999-ROW()),""))</f>
        <v/>
      </c>
    </row>
    <row r="53" customFormat="false" ht="15" hidden="false" customHeight="false" outlineLevel="0" collapsed="false">
      <c r="A53" s="30"/>
      <c r="B53" s="30"/>
      <c r="D53" s="0" t="str">
        <f aca="false">IF($A53="","",IF(COUNTIF($A$6:$A53,$A53)=1,COUNTIF($A$6:$A$305,$A53)*10000+(9999-ROW()),""))</f>
        <v/>
      </c>
    </row>
    <row r="54" customFormat="false" ht="15" hidden="false" customHeight="false" outlineLevel="0" collapsed="false">
      <c r="A54" s="30"/>
      <c r="B54" s="30"/>
      <c r="D54" s="0" t="str">
        <f aca="false">IF($A54="","",IF(COUNTIF($A$6:$A54,$A54)=1,COUNTIF($A$6:$A$305,$A54)*10000+(9999-ROW()),""))</f>
        <v/>
      </c>
    </row>
    <row r="55" customFormat="false" ht="15" hidden="false" customHeight="false" outlineLevel="0" collapsed="false">
      <c r="A55" s="30"/>
      <c r="B55" s="30"/>
      <c r="D55" s="0" t="str">
        <f aca="false">IF($A55="","",IF(COUNTIF($A$6:$A55,$A55)=1,COUNTIF($A$6:$A$305,$A55)*10000+(9999-ROW()),""))</f>
        <v/>
      </c>
    </row>
    <row r="56" customFormat="false" ht="15" hidden="false" customHeight="false" outlineLevel="0" collapsed="false">
      <c r="A56" s="30"/>
      <c r="B56" s="30"/>
      <c r="D56" s="0" t="str">
        <f aca="false">IF($A56="","",IF(COUNTIF($A$6:$A56,$A56)=1,COUNTIF($A$6:$A$305,$A56)*10000+(9999-ROW()),""))</f>
        <v/>
      </c>
    </row>
    <row r="57" customFormat="false" ht="15" hidden="false" customHeight="false" outlineLevel="0" collapsed="false">
      <c r="A57" s="30"/>
      <c r="B57" s="30"/>
      <c r="D57" s="0" t="str">
        <f aca="false">IF($A57="","",IF(COUNTIF($A$6:$A57,$A57)=1,COUNTIF($A$6:$A$305,$A57)*10000+(9999-ROW()),""))</f>
        <v/>
      </c>
    </row>
    <row r="58" customFormat="false" ht="15" hidden="false" customHeight="false" outlineLevel="0" collapsed="false">
      <c r="A58" s="30"/>
      <c r="B58" s="30"/>
      <c r="D58" s="0" t="str">
        <f aca="false">IF($A58="","",IF(COUNTIF($A$6:$A58,$A58)=1,COUNTIF($A$6:$A$305,$A58)*10000+(9999-ROW()),""))</f>
        <v/>
      </c>
    </row>
    <row r="59" customFormat="false" ht="15" hidden="false" customHeight="false" outlineLevel="0" collapsed="false">
      <c r="A59" s="30"/>
      <c r="B59" s="30"/>
      <c r="D59" s="0" t="str">
        <f aca="false">IF($A59="","",IF(COUNTIF($A$6:$A59,$A59)=1,COUNTIF($A$6:$A$305,$A59)*10000+(9999-ROW()),""))</f>
        <v/>
      </c>
    </row>
    <row r="60" customFormat="false" ht="15" hidden="false" customHeight="false" outlineLevel="0" collapsed="false">
      <c r="A60" s="30"/>
      <c r="B60" s="30"/>
      <c r="D60" s="0" t="str">
        <f aca="false">IF($A60="","",IF(COUNTIF($A$6:$A60,$A60)=1,COUNTIF($A$6:$A$305,$A60)*10000+(9999-ROW()),""))</f>
        <v/>
      </c>
    </row>
    <row r="61" customFormat="false" ht="15" hidden="false" customHeight="false" outlineLevel="0" collapsed="false">
      <c r="A61" s="30"/>
      <c r="B61" s="30"/>
      <c r="D61" s="0" t="str">
        <f aca="false">IF($A61="","",IF(COUNTIF($A$6:$A61,$A61)=1,COUNTIF($A$6:$A$305,$A61)*10000+(9999-ROW()),""))</f>
        <v/>
      </c>
    </row>
    <row r="62" customFormat="false" ht="15" hidden="false" customHeight="false" outlineLevel="0" collapsed="false">
      <c r="A62" s="30"/>
      <c r="B62" s="30"/>
      <c r="D62" s="0" t="str">
        <f aca="false">IF($A62="","",IF(COUNTIF($A$6:$A62,$A62)=1,COUNTIF($A$6:$A$305,$A62)*10000+(9999-ROW()),""))</f>
        <v/>
      </c>
    </row>
    <row r="63" customFormat="false" ht="15" hidden="false" customHeight="false" outlineLevel="0" collapsed="false">
      <c r="A63" s="30"/>
      <c r="B63" s="30"/>
      <c r="D63" s="0" t="str">
        <f aca="false">IF($A63="","",IF(COUNTIF($A$6:$A63,$A63)=1,COUNTIF($A$6:$A$305,$A63)*10000+(9999-ROW()),""))</f>
        <v/>
      </c>
    </row>
    <row r="64" customFormat="false" ht="15" hidden="false" customHeight="false" outlineLevel="0" collapsed="false">
      <c r="A64" s="30"/>
      <c r="B64" s="30"/>
      <c r="D64" s="0" t="str">
        <f aca="false">IF($A64="","",IF(COUNTIF($A$6:$A64,$A64)=1,COUNTIF($A$6:$A$305,$A64)*10000+(9999-ROW()),""))</f>
        <v/>
      </c>
    </row>
    <row r="65" customFormat="false" ht="15" hidden="false" customHeight="false" outlineLevel="0" collapsed="false">
      <c r="A65" s="30"/>
      <c r="B65" s="30"/>
      <c r="D65" s="0" t="str">
        <f aca="false">IF($A65="","",IF(COUNTIF($A$6:$A65,$A65)=1,COUNTIF($A$6:$A$305,$A65)*10000+(9999-ROW()),""))</f>
        <v/>
      </c>
    </row>
    <row r="66" customFormat="false" ht="15" hidden="false" customHeight="false" outlineLevel="0" collapsed="false">
      <c r="A66" s="30"/>
      <c r="B66" s="30"/>
      <c r="D66" s="0" t="str">
        <f aca="false">IF($A66="","",IF(COUNTIF($A$6:$A66,$A66)=1,COUNTIF($A$6:$A$305,$A66)*10000+(9999-ROW()),""))</f>
        <v/>
      </c>
    </row>
    <row r="67" customFormat="false" ht="15" hidden="false" customHeight="false" outlineLevel="0" collapsed="false">
      <c r="A67" s="30"/>
      <c r="B67" s="30"/>
      <c r="D67" s="0" t="str">
        <f aca="false">IF($A67="","",IF(COUNTIF($A$6:$A67,$A67)=1,COUNTIF($A$6:$A$305,$A67)*10000+(9999-ROW()),""))</f>
        <v/>
      </c>
    </row>
    <row r="68" customFormat="false" ht="15" hidden="false" customHeight="false" outlineLevel="0" collapsed="false">
      <c r="A68" s="30"/>
      <c r="B68" s="30"/>
      <c r="D68" s="0" t="str">
        <f aca="false">IF($A68="","",IF(COUNTIF($A$6:$A68,$A68)=1,COUNTIF($A$6:$A$305,$A68)*10000+(9999-ROW()),""))</f>
        <v/>
      </c>
    </row>
    <row r="69" customFormat="false" ht="15" hidden="false" customHeight="false" outlineLevel="0" collapsed="false">
      <c r="A69" s="30"/>
      <c r="B69" s="30"/>
      <c r="D69" s="0" t="str">
        <f aca="false">IF($A69="","",IF(COUNTIF($A$6:$A69,$A69)=1,COUNTIF($A$6:$A$305,$A69)*10000+(9999-ROW()),""))</f>
        <v/>
      </c>
    </row>
    <row r="70" customFormat="false" ht="15" hidden="false" customHeight="false" outlineLevel="0" collapsed="false">
      <c r="A70" s="30"/>
      <c r="B70" s="30"/>
      <c r="D70" s="0" t="str">
        <f aca="false">IF($A70="","",IF(COUNTIF($A$6:$A70,$A70)=1,COUNTIF($A$6:$A$305,$A70)*10000+(9999-ROW()),""))</f>
        <v/>
      </c>
    </row>
    <row r="71" customFormat="false" ht="15" hidden="false" customHeight="false" outlineLevel="0" collapsed="false">
      <c r="A71" s="30"/>
      <c r="B71" s="30"/>
      <c r="D71" s="0" t="str">
        <f aca="false">IF($A71="","",IF(COUNTIF($A$6:$A71,$A71)=1,COUNTIF($A$6:$A$305,$A71)*10000+(9999-ROW()),""))</f>
        <v/>
      </c>
    </row>
    <row r="72" customFormat="false" ht="15" hidden="false" customHeight="false" outlineLevel="0" collapsed="false">
      <c r="A72" s="30"/>
      <c r="B72" s="30"/>
      <c r="D72" s="0" t="str">
        <f aca="false">IF($A72="","",IF(COUNTIF($A$6:$A72,$A72)=1,COUNTIF($A$6:$A$305,$A72)*10000+(9999-ROW()),""))</f>
        <v/>
      </c>
    </row>
    <row r="73" customFormat="false" ht="15" hidden="false" customHeight="false" outlineLevel="0" collapsed="false">
      <c r="A73" s="30"/>
      <c r="B73" s="30"/>
      <c r="D73" s="0" t="str">
        <f aca="false">IF($A73="","",IF(COUNTIF($A$6:$A73,$A73)=1,COUNTIF($A$6:$A$305,$A73)*10000+(9999-ROW()),""))</f>
        <v/>
      </c>
    </row>
    <row r="74" customFormat="false" ht="15" hidden="false" customHeight="false" outlineLevel="0" collapsed="false">
      <c r="A74" s="30"/>
      <c r="B74" s="30"/>
      <c r="D74" s="0" t="str">
        <f aca="false">IF($A74="","",IF(COUNTIF($A$6:$A74,$A74)=1,COUNTIF($A$6:$A$305,$A74)*10000+(9999-ROW()),""))</f>
        <v/>
      </c>
    </row>
    <row r="75" customFormat="false" ht="15" hidden="false" customHeight="false" outlineLevel="0" collapsed="false">
      <c r="A75" s="30"/>
      <c r="B75" s="30"/>
      <c r="D75" s="0" t="str">
        <f aca="false">IF($A75="","",IF(COUNTIF($A$6:$A75,$A75)=1,COUNTIF($A$6:$A$305,$A75)*10000+(9999-ROW()),""))</f>
        <v/>
      </c>
    </row>
    <row r="76" customFormat="false" ht="15" hidden="false" customHeight="false" outlineLevel="0" collapsed="false">
      <c r="A76" s="30"/>
      <c r="B76" s="30"/>
      <c r="D76" s="0" t="str">
        <f aca="false">IF($A76="","",IF(COUNTIF($A$6:$A76,$A76)=1,COUNTIF($A$6:$A$305,$A76)*10000+(9999-ROW()),""))</f>
        <v/>
      </c>
    </row>
    <row r="77" customFormat="false" ht="15" hidden="false" customHeight="false" outlineLevel="0" collapsed="false">
      <c r="A77" s="30"/>
      <c r="B77" s="30"/>
      <c r="D77" s="0" t="str">
        <f aca="false">IF($A77="","",IF(COUNTIF($A$6:$A77,$A77)=1,COUNTIF($A$6:$A$305,$A77)*10000+(9999-ROW()),""))</f>
        <v/>
      </c>
    </row>
    <row r="78" customFormat="false" ht="15" hidden="false" customHeight="false" outlineLevel="0" collapsed="false">
      <c r="A78" s="30"/>
      <c r="B78" s="30"/>
      <c r="D78" s="0" t="str">
        <f aca="false">IF($A78="","",IF(COUNTIF($A$6:$A78,$A78)=1,COUNTIF($A$6:$A$305,$A78)*10000+(9999-ROW()),""))</f>
        <v/>
      </c>
    </row>
    <row r="79" customFormat="false" ht="15" hidden="false" customHeight="false" outlineLevel="0" collapsed="false">
      <c r="A79" s="30"/>
      <c r="B79" s="30"/>
      <c r="D79" s="0" t="str">
        <f aca="false">IF($A79="","",IF(COUNTIF($A$6:$A79,$A79)=1,COUNTIF($A$6:$A$305,$A79)*10000+(9999-ROW()),""))</f>
        <v/>
      </c>
    </row>
    <row r="80" customFormat="false" ht="15" hidden="false" customHeight="false" outlineLevel="0" collapsed="false">
      <c r="A80" s="30"/>
      <c r="B80" s="30"/>
      <c r="D80" s="0" t="str">
        <f aca="false">IF($A80="","",IF(COUNTIF($A$6:$A80,$A80)=1,COUNTIF($A$6:$A$305,$A80)*10000+(9999-ROW()),""))</f>
        <v/>
      </c>
    </row>
    <row r="81" customFormat="false" ht="15" hidden="false" customHeight="false" outlineLevel="0" collapsed="false">
      <c r="A81" s="30"/>
      <c r="B81" s="30"/>
      <c r="D81" s="0" t="str">
        <f aca="false">IF($A81="","",IF(COUNTIF($A$6:$A81,$A81)=1,COUNTIF($A$6:$A$305,$A81)*10000+(9999-ROW()),""))</f>
        <v/>
      </c>
    </row>
    <row r="82" customFormat="false" ht="15" hidden="false" customHeight="false" outlineLevel="0" collapsed="false">
      <c r="A82" s="30"/>
      <c r="B82" s="30"/>
      <c r="D82" s="0" t="str">
        <f aca="false">IF($A82="","",IF(COUNTIF($A$6:$A82,$A82)=1,COUNTIF($A$6:$A$305,$A82)*10000+(9999-ROW()),""))</f>
        <v/>
      </c>
    </row>
    <row r="83" customFormat="false" ht="15" hidden="false" customHeight="false" outlineLevel="0" collapsed="false">
      <c r="A83" s="30"/>
      <c r="B83" s="30"/>
      <c r="D83" s="0" t="str">
        <f aca="false">IF($A83="","",IF(COUNTIF($A$6:$A83,$A83)=1,COUNTIF($A$6:$A$305,$A83)*10000+(9999-ROW()),""))</f>
        <v/>
      </c>
    </row>
    <row r="84" customFormat="false" ht="15" hidden="false" customHeight="false" outlineLevel="0" collapsed="false">
      <c r="A84" s="30"/>
      <c r="B84" s="30"/>
      <c r="D84" s="0" t="str">
        <f aca="false">IF($A84="","",IF(COUNTIF($A$6:$A84,$A84)=1,COUNTIF($A$6:$A$305,$A84)*10000+(9999-ROW()),""))</f>
        <v/>
      </c>
    </row>
    <row r="85" customFormat="false" ht="15" hidden="false" customHeight="false" outlineLevel="0" collapsed="false">
      <c r="A85" s="30"/>
      <c r="B85" s="30"/>
      <c r="D85" s="0" t="str">
        <f aca="false">IF($A85="","",IF(COUNTIF($A$6:$A85,$A85)=1,COUNTIF($A$6:$A$305,$A85)*10000+(9999-ROW()),""))</f>
        <v/>
      </c>
    </row>
    <row r="86" customFormat="false" ht="15" hidden="false" customHeight="false" outlineLevel="0" collapsed="false">
      <c r="A86" s="30"/>
      <c r="B86" s="30"/>
      <c r="D86" s="0" t="str">
        <f aca="false">IF($A86="","",IF(COUNTIF($A$6:$A86,$A86)=1,COUNTIF($A$6:$A$305,$A86)*10000+(9999-ROW()),""))</f>
        <v/>
      </c>
    </row>
    <row r="87" customFormat="false" ht="15" hidden="false" customHeight="false" outlineLevel="0" collapsed="false">
      <c r="A87" s="30"/>
      <c r="B87" s="30"/>
      <c r="D87" s="0" t="str">
        <f aca="false">IF($A87="","",IF(COUNTIF($A$6:$A87,$A87)=1,COUNTIF($A$6:$A$305,$A87)*10000+(9999-ROW()),""))</f>
        <v/>
      </c>
    </row>
    <row r="88" customFormat="false" ht="15" hidden="false" customHeight="false" outlineLevel="0" collapsed="false">
      <c r="A88" s="30"/>
      <c r="B88" s="30"/>
      <c r="D88" s="0" t="str">
        <f aca="false">IF($A88="","",IF(COUNTIF($A$6:$A88,$A88)=1,COUNTIF($A$6:$A$305,$A88)*10000+(9999-ROW()),""))</f>
        <v/>
      </c>
    </row>
    <row r="89" customFormat="false" ht="15" hidden="false" customHeight="false" outlineLevel="0" collapsed="false">
      <c r="A89" s="30"/>
      <c r="B89" s="30"/>
      <c r="D89" s="0" t="str">
        <f aca="false">IF($A89="","",IF(COUNTIF($A$6:$A89,$A89)=1,COUNTIF($A$6:$A$305,$A89)*10000+(9999-ROW()),""))</f>
        <v/>
      </c>
    </row>
    <row r="90" customFormat="false" ht="15" hidden="false" customHeight="false" outlineLevel="0" collapsed="false">
      <c r="A90" s="30"/>
      <c r="B90" s="30"/>
      <c r="D90" s="0" t="str">
        <f aca="false">IF($A90="","",IF(COUNTIF($A$6:$A90,$A90)=1,COUNTIF($A$6:$A$305,$A90)*10000+(9999-ROW()),""))</f>
        <v/>
      </c>
    </row>
    <row r="91" customFormat="false" ht="15" hidden="false" customHeight="false" outlineLevel="0" collapsed="false">
      <c r="A91" s="30"/>
      <c r="B91" s="30"/>
      <c r="D91" s="0" t="str">
        <f aca="false">IF($A91="","",IF(COUNTIF($A$6:$A91,$A91)=1,COUNTIF($A$6:$A$305,$A91)*10000+(9999-ROW()),""))</f>
        <v/>
      </c>
    </row>
    <row r="92" customFormat="false" ht="15" hidden="false" customHeight="false" outlineLevel="0" collapsed="false">
      <c r="A92" s="30"/>
      <c r="B92" s="30"/>
      <c r="D92" s="0" t="str">
        <f aca="false">IF($A92="","",IF(COUNTIF($A$6:$A92,$A92)=1,COUNTIF($A$6:$A$305,$A92)*10000+(9999-ROW()),""))</f>
        <v/>
      </c>
    </row>
    <row r="93" customFormat="false" ht="15" hidden="false" customHeight="false" outlineLevel="0" collapsed="false">
      <c r="A93" s="30"/>
      <c r="B93" s="30"/>
      <c r="D93" s="0" t="str">
        <f aca="false">IF($A93="","",IF(COUNTIF($A$6:$A93,$A93)=1,COUNTIF($A$6:$A$305,$A93)*10000+(9999-ROW()),""))</f>
        <v/>
      </c>
    </row>
    <row r="94" customFormat="false" ht="15" hidden="false" customHeight="false" outlineLevel="0" collapsed="false">
      <c r="A94" s="30"/>
      <c r="B94" s="30"/>
      <c r="D94" s="0" t="str">
        <f aca="false">IF($A94="","",IF(COUNTIF($A$6:$A94,$A94)=1,COUNTIF($A$6:$A$305,$A94)*10000+(9999-ROW()),""))</f>
        <v/>
      </c>
    </row>
    <row r="95" customFormat="false" ht="15" hidden="false" customHeight="false" outlineLevel="0" collapsed="false">
      <c r="A95" s="30"/>
      <c r="B95" s="30"/>
      <c r="D95" s="0" t="str">
        <f aca="false">IF($A95="","",IF(COUNTIF($A$6:$A95,$A95)=1,COUNTIF($A$6:$A$305,$A95)*10000+(9999-ROW()),""))</f>
        <v/>
      </c>
    </row>
    <row r="96" customFormat="false" ht="15" hidden="false" customHeight="false" outlineLevel="0" collapsed="false">
      <c r="A96" s="30"/>
      <c r="B96" s="30"/>
      <c r="D96" s="0" t="str">
        <f aca="false">IF($A96="","",IF(COUNTIF($A$6:$A96,$A96)=1,COUNTIF($A$6:$A$305,$A96)*10000+(9999-ROW()),""))</f>
        <v/>
      </c>
    </row>
    <row r="97" customFormat="false" ht="15" hidden="false" customHeight="false" outlineLevel="0" collapsed="false">
      <c r="A97" s="30"/>
      <c r="B97" s="30"/>
      <c r="D97" s="0" t="str">
        <f aca="false">IF($A97="","",IF(COUNTIF($A$6:$A97,$A97)=1,COUNTIF($A$6:$A$305,$A97)*10000+(9999-ROW()),""))</f>
        <v/>
      </c>
    </row>
    <row r="98" customFormat="false" ht="15" hidden="false" customHeight="false" outlineLevel="0" collapsed="false">
      <c r="A98" s="30"/>
      <c r="B98" s="30"/>
      <c r="D98" s="0" t="str">
        <f aca="false">IF($A98="","",IF(COUNTIF($A$6:$A98,$A98)=1,COUNTIF($A$6:$A$305,$A98)*10000+(9999-ROW()),""))</f>
        <v/>
      </c>
    </row>
    <row r="99" customFormat="false" ht="15" hidden="false" customHeight="false" outlineLevel="0" collapsed="false">
      <c r="A99" s="30"/>
      <c r="B99" s="30"/>
      <c r="D99" s="0" t="str">
        <f aca="false">IF($A99="","",IF(COUNTIF($A$6:$A99,$A99)=1,COUNTIF($A$6:$A$305,$A99)*10000+(9999-ROW()),""))</f>
        <v/>
      </c>
    </row>
    <row r="100" customFormat="false" ht="15" hidden="false" customHeight="false" outlineLevel="0" collapsed="false">
      <c r="A100" s="30"/>
      <c r="B100" s="30"/>
      <c r="D100" s="0" t="str">
        <f aca="false">IF($A100="","",IF(COUNTIF($A$6:$A100,$A100)=1,COUNTIF($A$6:$A$305,$A100)*10000+(9999-ROW()),""))</f>
        <v/>
      </c>
    </row>
    <row r="101" customFormat="false" ht="15" hidden="false" customHeight="false" outlineLevel="0" collapsed="false">
      <c r="A101" s="30"/>
      <c r="B101" s="30"/>
      <c r="D101" s="0" t="str">
        <f aca="false">IF($A101="","",IF(COUNTIF($A$6:$A101,$A101)=1,COUNTIF($A$6:$A$305,$A101)*10000+(9999-ROW()),""))</f>
        <v/>
      </c>
    </row>
    <row r="102" customFormat="false" ht="15" hidden="false" customHeight="false" outlineLevel="0" collapsed="false">
      <c r="A102" s="30"/>
      <c r="B102" s="30"/>
      <c r="D102" s="0" t="str">
        <f aca="false">IF($A102="","",IF(COUNTIF($A$6:$A102,$A102)=1,COUNTIF($A$6:$A$305,$A102)*10000+(9999-ROW()),""))</f>
        <v/>
      </c>
    </row>
    <row r="103" customFormat="false" ht="15" hidden="false" customHeight="false" outlineLevel="0" collapsed="false">
      <c r="A103" s="30"/>
      <c r="B103" s="30"/>
      <c r="D103" s="0" t="str">
        <f aca="false">IF($A103="","",IF(COUNTIF($A$6:$A103,$A103)=1,COUNTIF($A$6:$A$305,$A103)*10000+(9999-ROW()),""))</f>
        <v/>
      </c>
    </row>
    <row r="104" customFormat="false" ht="15" hidden="false" customHeight="false" outlineLevel="0" collapsed="false">
      <c r="A104" s="30"/>
      <c r="B104" s="30"/>
      <c r="D104" s="0" t="str">
        <f aca="false">IF($A104="","",IF(COUNTIF($A$6:$A104,$A104)=1,COUNTIF($A$6:$A$305,$A104)*10000+(9999-ROW()),""))</f>
        <v/>
      </c>
    </row>
    <row r="105" customFormat="false" ht="15" hidden="false" customHeight="false" outlineLevel="0" collapsed="false">
      <c r="A105" s="30"/>
      <c r="B105" s="30"/>
      <c r="D105" s="0" t="str">
        <f aca="false">IF($A105="","",IF(COUNTIF($A$6:$A105,$A105)=1,COUNTIF($A$6:$A$305,$A105)*10000+(9999-ROW()),""))</f>
        <v/>
      </c>
    </row>
    <row r="106" customFormat="false" ht="15" hidden="false" customHeight="false" outlineLevel="0" collapsed="false">
      <c r="A106" s="30"/>
      <c r="B106" s="30"/>
      <c r="D106" s="0" t="str">
        <f aca="false">IF($A106="","",IF(COUNTIF($A$6:$A106,$A106)=1,COUNTIF($A$6:$A$305,$A106)*10000+(9999-ROW()),""))</f>
        <v/>
      </c>
    </row>
    <row r="107" customFormat="false" ht="15" hidden="false" customHeight="false" outlineLevel="0" collapsed="false">
      <c r="A107" s="30"/>
      <c r="B107" s="30"/>
      <c r="D107" s="0" t="str">
        <f aca="false">IF($A107="","",IF(COUNTIF($A$6:$A107,$A107)=1,COUNTIF($A$6:$A$305,$A107)*10000+(9999-ROW()),""))</f>
        <v/>
      </c>
    </row>
    <row r="108" customFormat="false" ht="15" hidden="false" customHeight="false" outlineLevel="0" collapsed="false">
      <c r="A108" s="30"/>
      <c r="B108" s="30"/>
      <c r="D108" s="0" t="str">
        <f aca="false">IF($A108="","",IF(COUNTIF($A$6:$A108,$A108)=1,COUNTIF($A$6:$A$305,$A108)*10000+(9999-ROW()),""))</f>
        <v/>
      </c>
    </row>
    <row r="109" customFormat="false" ht="15" hidden="false" customHeight="false" outlineLevel="0" collapsed="false">
      <c r="A109" s="30"/>
      <c r="B109" s="30"/>
      <c r="D109" s="0" t="str">
        <f aca="false">IF($A109="","",IF(COUNTIF($A$6:$A109,$A109)=1,COUNTIF($A$6:$A$305,$A109)*10000+(9999-ROW()),""))</f>
        <v/>
      </c>
    </row>
    <row r="110" customFormat="false" ht="15" hidden="false" customHeight="false" outlineLevel="0" collapsed="false">
      <c r="A110" s="30"/>
      <c r="B110" s="30"/>
      <c r="D110" s="0" t="str">
        <f aca="false">IF($A110="","",IF(COUNTIF($A$6:$A110,$A110)=1,COUNTIF($A$6:$A$305,$A110)*10000+(9999-ROW()),""))</f>
        <v/>
      </c>
    </row>
    <row r="111" customFormat="false" ht="15" hidden="false" customHeight="false" outlineLevel="0" collapsed="false">
      <c r="A111" s="30"/>
      <c r="B111" s="30"/>
      <c r="D111" s="0" t="str">
        <f aca="false">IF($A111="","",IF(COUNTIF($A$6:$A111,$A111)=1,COUNTIF($A$6:$A$305,$A111)*10000+(9999-ROW()),""))</f>
        <v/>
      </c>
    </row>
    <row r="112" customFormat="false" ht="15" hidden="false" customHeight="false" outlineLevel="0" collapsed="false">
      <c r="A112" s="30"/>
      <c r="B112" s="30"/>
      <c r="D112" s="0" t="str">
        <f aca="false">IF($A112="","",IF(COUNTIF($A$6:$A112,$A112)=1,COUNTIF($A$6:$A$305,$A112)*10000+(9999-ROW()),""))</f>
        <v/>
      </c>
    </row>
    <row r="113" customFormat="false" ht="15" hidden="false" customHeight="false" outlineLevel="0" collapsed="false">
      <c r="A113" s="30"/>
      <c r="B113" s="30"/>
      <c r="D113" s="0" t="str">
        <f aca="false">IF($A113="","",IF(COUNTIF($A$6:$A113,$A113)=1,COUNTIF($A$6:$A$305,$A113)*10000+(9999-ROW()),""))</f>
        <v/>
      </c>
    </row>
    <row r="114" customFormat="false" ht="15" hidden="false" customHeight="false" outlineLevel="0" collapsed="false">
      <c r="A114" s="30"/>
      <c r="B114" s="30"/>
      <c r="D114" s="0" t="str">
        <f aca="false">IF($A114="","",IF(COUNTIF($A$6:$A114,$A114)=1,COUNTIF($A$6:$A$305,$A114)*10000+(9999-ROW()),""))</f>
        <v/>
      </c>
    </row>
    <row r="115" customFormat="false" ht="15" hidden="false" customHeight="false" outlineLevel="0" collapsed="false">
      <c r="A115" s="30"/>
      <c r="B115" s="30"/>
      <c r="D115" s="0" t="str">
        <f aca="false">IF($A115="","",IF(COUNTIF($A$6:$A115,$A115)=1,COUNTIF($A$6:$A$305,$A115)*10000+(9999-ROW()),""))</f>
        <v/>
      </c>
    </row>
    <row r="116" customFormat="false" ht="15" hidden="false" customHeight="false" outlineLevel="0" collapsed="false">
      <c r="A116" s="30"/>
      <c r="B116" s="30"/>
      <c r="D116" s="0" t="str">
        <f aca="false">IF($A116="","",IF(COUNTIF($A$6:$A116,$A116)=1,COUNTIF($A$6:$A$305,$A116)*10000+(9999-ROW()),""))</f>
        <v/>
      </c>
    </row>
    <row r="117" customFormat="false" ht="15" hidden="false" customHeight="false" outlineLevel="0" collapsed="false">
      <c r="A117" s="30"/>
      <c r="B117" s="30"/>
      <c r="D117" s="0" t="str">
        <f aca="false">IF($A117="","",IF(COUNTIF($A$6:$A117,$A117)=1,COUNTIF($A$6:$A$305,$A117)*10000+(9999-ROW()),""))</f>
        <v/>
      </c>
    </row>
    <row r="118" customFormat="false" ht="15" hidden="false" customHeight="false" outlineLevel="0" collapsed="false">
      <c r="A118" s="30"/>
      <c r="B118" s="30"/>
      <c r="D118" s="0" t="str">
        <f aca="false">IF($A118="","",IF(COUNTIF($A$6:$A118,$A118)=1,COUNTIF($A$6:$A$305,$A118)*10000+(9999-ROW()),""))</f>
        <v/>
      </c>
    </row>
    <row r="119" customFormat="false" ht="15" hidden="false" customHeight="false" outlineLevel="0" collapsed="false">
      <c r="A119" s="30"/>
      <c r="B119" s="30"/>
      <c r="D119" s="0" t="str">
        <f aca="false">IF($A119="","",IF(COUNTIF($A$6:$A119,$A119)=1,COUNTIF($A$6:$A$305,$A119)*10000+(9999-ROW()),""))</f>
        <v/>
      </c>
    </row>
    <row r="120" customFormat="false" ht="15" hidden="false" customHeight="false" outlineLevel="0" collapsed="false">
      <c r="A120" s="30"/>
      <c r="B120" s="30"/>
      <c r="D120" s="0" t="str">
        <f aca="false">IF($A120="","",IF(COUNTIF($A$6:$A120,$A120)=1,COUNTIF($A$6:$A$305,$A120)*10000+(9999-ROW()),""))</f>
        <v/>
      </c>
    </row>
    <row r="121" customFormat="false" ht="15" hidden="false" customHeight="false" outlineLevel="0" collapsed="false">
      <c r="A121" s="30"/>
      <c r="B121" s="30"/>
      <c r="D121" s="0" t="str">
        <f aca="false">IF($A121="","",IF(COUNTIF($A$6:$A121,$A121)=1,COUNTIF($A$6:$A$305,$A121)*10000+(9999-ROW()),""))</f>
        <v/>
      </c>
    </row>
    <row r="122" customFormat="false" ht="15" hidden="false" customHeight="false" outlineLevel="0" collapsed="false">
      <c r="A122" s="30"/>
      <c r="B122" s="30"/>
      <c r="D122" s="0" t="str">
        <f aca="false">IF($A122="","",IF(COUNTIF($A$6:$A122,$A122)=1,COUNTIF($A$6:$A$305,$A122)*10000+(9999-ROW()),""))</f>
        <v/>
      </c>
    </row>
    <row r="123" customFormat="false" ht="15" hidden="false" customHeight="false" outlineLevel="0" collapsed="false">
      <c r="A123" s="30"/>
      <c r="B123" s="30"/>
      <c r="D123" s="0" t="str">
        <f aca="false">IF($A123="","",IF(COUNTIF($A$6:$A123,$A123)=1,COUNTIF($A$6:$A$305,$A123)*10000+(9999-ROW()),""))</f>
        <v/>
      </c>
    </row>
    <row r="124" customFormat="false" ht="15" hidden="false" customHeight="false" outlineLevel="0" collapsed="false">
      <c r="A124" s="30"/>
      <c r="B124" s="30"/>
      <c r="D124" s="0" t="str">
        <f aca="false">IF($A124="","",IF(COUNTIF($A$6:$A124,$A124)=1,COUNTIF($A$6:$A$305,$A124)*10000+(9999-ROW()),""))</f>
        <v/>
      </c>
    </row>
    <row r="125" customFormat="false" ht="15" hidden="false" customHeight="false" outlineLevel="0" collapsed="false">
      <c r="A125" s="30"/>
      <c r="B125" s="30"/>
      <c r="D125" s="0" t="str">
        <f aca="false">IF($A125="","",IF(COUNTIF($A$6:$A125,$A125)=1,COUNTIF($A$6:$A$305,$A125)*10000+(9999-ROW()),""))</f>
        <v/>
      </c>
    </row>
    <row r="126" customFormat="false" ht="15" hidden="false" customHeight="false" outlineLevel="0" collapsed="false">
      <c r="A126" s="30"/>
      <c r="B126" s="30"/>
      <c r="D126" s="0" t="str">
        <f aca="false">IF($A126="","",IF(COUNTIF($A$6:$A126,$A126)=1,COUNTIF($A$6:$A$305,$A126)*10000+(9999-ROW()),""))</f>
        <v/>
      </c>
    </row>
    <row r="127" customFormat="false" ht="15" hidden="false" customHeight="false" outlineLevel="0" collapsed="false">
      <c r="A127" s="30"/>
      <c r="B127" s="30"/>
      <c r="D127" s="0" t="str">
        <f aca="false">IF($A127="","",IF(COUNTIF($A$6:$A127,$A127)=1,COUNTIF($A$6:$A$305,$A127)*10000+(9999-ROW()),""))</f>
        <v/>
      </c>
    </row>
    <row r="128" customFormat="false" ht="15" hidden="false" customHeight="false" outlineLevel="0" collapsed="false">
      <c r="A128" s="30"/>
      <c r="B128" s="30"/>
      <c r="D128" s="0" t="str">
        <f aca="false">IF($A128="","",IF(COUNTIF($A$6:$A128,$A128)=1,COUNTIF($A$6:$A$305,$A128)*10000+(9999-ROW()),""))</f>
        <v/>
      </c>
    </row>
    <row r="129" customFormat="false" ht="15" hidden="false" customHeight="false" outlineLevel="0" collapsed="false">
      <c r="A129" s="30"/>
      <c r="B129" s="30"/>
      <c r="D129" s="0" t="str">
        <f aca="false">IF($A129="","",IF(COUNTIF($A$6:$A129,$A129)=1,COUNTIF($A$6:$A$305,$A129)*10000+(9999-ROW()),""))</f>
        <v/>
      </c>
    </row>
    <row r="130" customFormat="false" ht="15" hidden="false" customHeight="false" outlineLevel="0" collapsed="false">
      <c r="A130" s="30"/>
      <c r="B130" s="30"/>
      <c r="D130" s="0" t="str">
        <f aca="false">IF($A130="","",IF(COUNTIF($A$6:$A130,$A130)=1,COUNTIF($A$6:$A$305,$A130)*10000+(9999-ROW()),""))</f>
        <v/>
      </c>
    </row>
    <row r="131" customFormat="false" ht="15" hidden="false" customHeight="false" outlineLevel="0" collapsed="false">
      <c r="A131" s="30"/>
      <c r="B131" s="30"/>
      <c r="D131" s="0" t="str">
        <f aca="false">IF($A131="","",IF(COUNTIF($A$6:$A131,$A131)=1,COUNTIF($A$6:$A$305,$A131)*10000+(9999-ROW()),""))</f>
        <v/>
      </c>
    </row>
    <row r="132" customFormat="false" ht="15" hidden="false" customHeight="false" outlineLevel="0" collapsed="false">
      <c r="A132" s="30"/>
      <c r="B132" s="30"/>
      <c r="D132" s="0" t="str">
        <f aca="false">IF($A132="","",IF(COUNTIF($A$6:$A132,$A132)=1,COUNTIF($A$6:$A$305,$A132)*10000+(9999-ROW()),""))</f>
        <v/>
      </c>
    </row>
    <row r="133" customFormat="false" ht="15" hidden="false" customHeight="false" outlineLevel="0" collapsed="false">
      <c r="A133" s="30"/>
      <c r="B133" s="30"/>
      <c r="D133" s="0" t="str">
        <f aca="false">IF($A133="","",IF(COUNTIF($A$6:$A133,$A133)=1,COUNTIF($A$6:$A$305,$A133)*10000+(9999-ROW()),""))</f>
        <v/>
      </c>
    </row>
    <row r="134" customFormat="false" ht="15" hidden="false" customHeight="false" outlineLevel="0" collapsed="false">
      <c r="A134" s="30"/>
      <c r="B134" s="30"/>
      <c r="D134" s="0" t="str">
        <f aca="false">IF($A134="","",IF(COUNTIF($A$6:$A134,$A134)=1,COUNTIF($A$6:$A$305,$A134)*10000+(9999-ROW()),""))</f>
        <v/>
      </c>
    </row>
    <row r="135" customFormat="false" ht="15" hidden="false" customHeight="false" outlineLevel="0" collapsed="false">
      <c r="A135" s="30"/>
      <c r="B135" s="30"/>
      <c r="D135" s="0" t="str">
        <f aca="false">IF($A135="","",IF(COUNTIF($A$6:$A135,$A135)=1,COUNTIF($A$6:$A$305,$A135)*10000+(9999-ROW()),""))</f>
        <v/>
      </c>
    </row>
    <row r="136" customFormat="false" ht="15" hidden="false" customHeight="false" outlineLevel="0" collapsed="false">
      <c r="A136" s="30"/>
      <c r="B136" s="30"/>
      <c r="D136" s="0" t="str">
        <f aca="false">IF($A136="","",IF(COUNTIF($A$6:$A136,$A136)=1,COUNTIF($A$6:$A$305,$A136)*10000+(9999-ROW()),""))</f>
        <v/>
      </c>
    </row>
    <row r="137" customFormat="false" ht="15" hidden="false" customHeight="false" outlineLevel="0" collapsed="false">
      <c r="A137" s="30"/>
      <c r="B137" s="30"/>
      <c r="D137" s="0" t="str">
        <f aca="false">IF($A137="","",IF(COUNTIF($A$6:$A137,$A137)=1,COUNTIF($A$6:$A$305,$A137)*10000+(9999-ROW()),""))</f>
        <v/>
      </c>
    </row>
    <row r="138" customFormat="false" ht="15" hidden="false" customHeight="false" outlineLevel="0" collapsed="false">
      <c r="A138" s="30"/>
      <c r="B138" s="30"/>
      <c r="D138" s="0" t="str">
        <f aca="false">IF($A138="","",IF(COUNTIF($A$6:$A138,$A138)=1,COUNTIF($A$6:$A$305,$A138)*10000+(9999-ROW()),""))</f>
        <v/>
      </c>
    </row>
    <row r="139" customFormat="false" ht="15" hidden="false" customHeight="false" outlineLevel="0" collapsed="false">
      <c r="A139" s="30"/>
      <c r="B139" s="30"/>
      <c r="D139" s="0" t="str">
        <f aca="false">IF($A139="","",IF(COUNTIF($A$6:$A139,$A139)=1,COUNTIF($A$6:$A$305,$A139)*10000+(9999-ROW()),""))</f>
        <v/>
      </c>
    </row>
    <row r="140" customFormat="false" ht="15" hidden="false" customHeight="false" outlineLevel="0" collapsed="false">
      <c r="A140" s="30"/>
      <c r="B140" s="30"/>
      <c r="D140" s="0" t="str">
        <f aca="false">IF($A140="","",IF(COUNTIF($A$6:$A140,$A140)=1,COUNTIF($A$6:$A$305,$A140)*10000+(9999-ROW()),""))</f>
        <v/>
      </c>
    </row>
    <row r="141" customFormat="false" ht="15" hidden="false" customHeight="false" outlineLevel="0" collapsed="false">
      <c r="A141" s="30"/>
      <c r="B141" s="30"/>
      <c r="D141" s="0" t="str">
        <f aca="false">IF($A141="","",IF(COUNTIF($A$6:$A141,$A141)=1,COUNTIF($A$6:$A$305,$A141)*10000+(9999-ROW()),""))</f>
        <v/>
      </c>
    </row>
    <row r="142" customFormat="false" ht="15" hidden="false" customHeight="false" outlineLevel="0" collapsed="false">
      <c r="A142" s="30"/>
      <c r="B142" s="30"/>
      <c r="D142" s="0" t="str">
        <f aca="false">IF($A142="","",IF(COUNTIF($A$6:$A142,$A142)=1,COUNTIF($A$6:$A$305,$A142)*10000+(9999-ROW()),""))</f>
        <v/>
      </c>
    </row>
    <row r="143" customFormat="false" ht="15" hidden="false" customHeight="false" outlineLevel="0" collapsed="false">
      <c r="A143" s="30"/>
      <c r="B143" s="30"/>
      <c r="D143" s="0" t="str">
        <f aca="false">IF($A143="","",IF(COUNTIF($A$6:$A143,$A143)=1,COUNTIF($A$6:$A$305,$A143)*10000+(9999-ROW()),""))</f>
        <v/>
      </c>
    </row>
    <row r="144" customFormat="false" ht="15" hidden="false" customHeight="false" outlineLevel="0" collapsed="false">
      <c r="A144" s="30"/>
      <c r="B144" s="30"/>
      <c r="D144" s="0" t="str">
        <f aca="false">IF($A144="","",IF(COUNTIF($A$6:$A144,$A144)=1,COUNTIF($A$6:$A$305,$A144)*10000+(9999-ROW()),""))</f>
        <v/>
      </c>
    </row>
    <row r="145" customFormat="false" ht="15" hidden="false" customHeight="false" outlineLevel="0" collapsed="false">
      <c r="A145" s="30"/>
      <c r="B145" s="30"/>
      <c r="D145" s="0" t="str">
        <f aca="false">IF($A145="","",IF(COUNTIF($A$6:$A145,$A145)=1,COUNTIF($A$6:$A$305,$A145)*10000+(9999-ROW()),""))</f>
        <v/>
      </c>
    </row>
    <row r="146" customFormat="false" ht="15" hidden="false" customHeight="false" outlineLevel="0" collapsed="false">
      <c r="A146" s="30"/>
      <c r="B146" s="30"/>
      <c r="D146" s="0" t="str">
        <f aca="false">IF($A146="","",IF(COUNTIF($A$6:$A146,$A146)=1,COUNTIF($A$6:$A$305,$A146)*10000+(9999-ROW()),""))</f>
        <v/>
      </c>
    </row>
    <row r="147" customFormat="false" ht="15" hidden="false" customHeight="false" outlineLevel="0" collapsed="false">
      <c r="A147" s="30"/>
      <c r="B147" s="30"/>
      <c r="D147" s="0" t="str">
        <f aca="false">IF($A147="","",IF(COUNTIF($A$6:$A147,$A147)=1,COUNTIF($A$6:$A$305,$A147)*10000+(9999-ROW()),""))</f>
        <v/>
      </c>
    </row>
    <row r="148" customFormat="false" ht="15" hidden="false" customHeight="false" outlineLevel="0" collapsed="false">
      <c r="A148" s="30"/>
      <c r="B148" s="30"/>
      <c r="D148" s="0" t="str">
        <f aca="false">IF($A148="","",IF(COUNTIF($A$6:$A148,$A148)=1,COUNTIF($A$6:$A$305,$A148)*10000+(9999-ROW()),""))</f>
        <v/>
      </c>
    </row>
    <row r="149" customFormat="false" ht="15" hidden="false" customHeight="false" outlineLevel="0" collapsed="false">
      <c r="A149" s="30"/>
      <c r="B149" s="30"/>
      <c r="D149" s="0" t="str">
        <f aca="false">IF($A149="","",IF(COUNTIF($A$6:$A149,$A149)=1,COUNTIF($A$6:$A$305,$A149)*10000+(9999-ROW()),""))</f>
        <v/>
      </c>
    </row>
    <row r="150" customFormat="false" ht="15" hidden="false" customHeight="false" outlineLevel="0" collapsed="false">
      <c r="A150" s="30"/>
      <c r="B150" s="30"/>
      <c r="D150" s="0" t="str">
        <f aca="false">IF($A150="","",IF(COUNTIF($A$6:$A150,$A150)=1,COUNTIF($A$6:$A$305,$A150)*10000+(9999-ROW()),""))</f>
        <v/>
      </c>
    </row>
    <row r="151" customFormat="false" ht="15" hidden="false" customHeight="false" outlineLevel="0" collapsed="false">
      <c r="A151" s="30"/>
      <c r="B151" s="30"/>
      <c r="D151" s="0" t="str">
        <f aca="false">IF($A151="","",IF(COUNTIF($A$6:$A151,$A151)=1,COUNTIF($A$6:$A$305,$A151)*10000+(9999-ROW()),""))</f>
        <v/>
      </c>
    </row>
    <row r="152" customFormat="false" ht="15" hidden="false" customHeight="false" outlineLevel="0" collapsed="false">
      <c r="A152" s="30"/>
      <c r="B152" s="30"/>
      <c r="D152" s="0" t="str">
        <f aca="false">IF($A152="","",IF(COUNTIF($A$6:$A152,$A152)=1,COUNTIF($A$6:$A$305,$A152)*10000+(9999-ROW()),""))</f>
        <v/>
      </c>
    </row>
    <row r="153" customFormat="false" ht="15" hidden="false" customHeight="false" outlineLevel="0" collapsed="false">
      <c r="A153" s="30"/>
      <c r="B153" s="30"/>
      <c r="D153" s="0" t="str">
        <f aca="false">IF($A153="","",IF(COUNTIF($A$6:$A153,$A153)=1,COUNTIF($A$6:$A$305,$A153)*10000+(9999-ROW()),""))</f>
        <v/>
      </c>
    </row>
    <row r="154" customFormat="false" ht="15" hidden="false" customHeight="false" outlineLevel="0" collapsed="false">
      <c r="A154" s="30"/>
      <c r="B154" s="30"/>
      <c r="D154" s="0" t="str">
        <f aca="false">IF($A154="","",IF(COUNTIF($A$6:$A154,$A154)=1,COUNTIF($A$6:$A$305,$A154)*10000+(9999-ROW()),""))</f>
        <v/>
      </c>
    </row>
    <row r="155" customFormat="false" ht="15" hidden="false" customHeight="false" outlineLevel="0" collapsed="false">
      <c r="A155" s="30"/>
      <c r="B155" s="30"/>
      <c r="D155" s="0" t="str">
        <f aca="false">IF($A155="","",IF(COUNTIF($A$6:$A155,$A155)=1,COUNTIF($A$6:$A$305,$A155)*10000+(9999-ROW()),""))</f>
        <v/>
      </c>
    </row>
    <row r="156" customFormat="false" ht="15" hidden="false" customHeight="false" outlineLevel="0" collapsed="false">
      <c r="A156" s="30"/>
      <c r="B156" s="30"/>
      <c r="D156" s="0" t="str">
        <f aca="false">IF($A156="","",IF(COUNTIF($A$6:$A156,$A156)=1,COUNTIF($A$6:$A$305,$A156)*10000+(9999-ROW()),""))</f>
        <v/>
      </c>
    </row>
    <row r="157" customFormat="false" ht="15" hidden="false" customHeight="false" outlineLevel="0" collapsed="false">
      <c r="A157" s="30"/>
      <c r="B157" s="30"/>
      <c r="D157" s="0" t="str">
        <f aca="false">IF($A157="","",IF(COUNTIF($A$6:$A157,$A157)=1,COUNTIF($A$6:$A$305,$A157)*10000+(9999-ROW()),""))</f>
        <v/>
      </c>
    </row>
    <row r="158" customFormat="false" ht="15" hidden="false" customHeight="false" outlineLevel="0" collapsed="false">
      <c r="A158" s="30"/>
      <c r="B158" s="30"/>
      <c r="D158" s="0" t="str">
        <f aca="false">IF($A158="","",IF(COUNTIF($A$6:$A158,$A158)=1,COUNTIF($A$6:$A$305,$A158)*10000+(9999-ROW()),""))</f>
        <v/>
      </c>
    </row>
    <row r="159" customFormat="false" ht="15" hidden="false" customHeight="false" outlineLevel="0" collapsed="false">
      <c r="A159" s="30"/>
      <c r="B159" s="30"/>
      <c r="D159" s="0" t="str">
        <f aca="false">IF($A159="","",IF(COUNTIF($A$6:$A159,$A159)=1,COUNTIF($A$6:$A$305,$A159)*10000+(9999-ROW()),""))</f>
        <v/>
      </c>
    </row>
    <row r="160" customFormat="false" ht="15" hidden="false" customHeight="false" outlineLevel="0" collapsed="false">
      <c r="A160" s="30"/>
      <c r="B160" s="30"/>
      <c r="D160" s="0" t="str">
        <f aca="false">IF($A160="","",IF(COUNTIF($A$6:$A160,$A160)=1,COUNTIF($A$6:$A$305,$A160)*10000+(9999-ROW()),""))</f>
        <v/>
      </c>
    </row>
    <row r="161" customFormat="false" ht="15" hidden="false" customHeight="false" outlineLevel="0" collapsed="false">
      <c r="A161" s="30"/>
      <c r="B161" s="30"/>
      <c r="D161" s="0" t="str">
        <f aca="false">IF($A161="","",IF(COUNTIF($A$6:$A161,$A161)=1,COUNTIF($A$6:$A$305,$A161)*10000+(9999-ROW()),""))</f>
        <v/>
      </c>
    </row>
    <row r="162" customFormat="false" ht="15" hidden="false" customHeight="false" outlineLevel="0" collapsed="false">
      <c r="A162" s="30"/>
      <c r="B162" s="30"/>
      <c r="D162" s="0" t="str">
        <f aca="false">IF($A162="","",IF(COUNTIF($A$6:$A162,$A162)=1,COUNTIF($A$6:$A$305,$A162)*10000+(9999-ROW()),""))</f>
        <v/>
      </c>
    </row>
    <row r="163" customFormat="false" ht="15" hidden="false" customHeight="false" outlineLevel="0" collapsed="false">
      <c r="A163" s="30"/>
      <c r="B163" s="30"/>
      <c r="D163" s="0" t="str">
        <f aca="false">IF($A163="","",IF(COUNTIF($A$6:$A163,$A163)=1,COUNTIF($A$6:$A$305,$A163)*10000+(9999-ROW()),""))</f>
        <v/>
      </c>
    </row>
    <row r="164" customFormat="false" ht="15" hidden="false" customHeight="false" outlineLevel="0" collapsed="false">
      <c r="A164" s="30"/>
      <c r="B164" s="30"/>
      <c r="D164" s="0" t="str">
        <f aca="false">IF($A164="","",IF(COUNTIF($A$6:$A164,$A164)=1,COUNTIF($A$6:$A$305,$A164)*10000+(9999-ROW()),""))</f>
        <v/>
      </c>
    </row>
    <row r="165" customFormat="false" ht="15" hidden="false" customHeight="false" outlineLevel="0" collapsed="false">
      <c r="A165" s="30"/>
      <c r="B165" s="30"/>
      <c r="D165" s="0" t="str">
        <f aca="false">IF($A165="","",IF(COUNTIF($A$6:$A165,$A165)=1,COUNTIF($A$6:$A$305,$A165)*10000+(9999-ROW()),""))</f>
        <v/>
      </c>
    </row>
    <row r="166" customFormat="false" ht="15" hidden="false" customHeight="false" outlineLevel="0" collapsed="false">
      <c r="A166" s="30"/>
      <c r="B166" s="30"/>
      <c r="D166" s="0" t="str">
        <f aca="false">IF($A166="","",IF(COUNTIF($A$6:$A166,$A166)=1,COUNTIF($A$6:$A$305,$A166)*10000+(9999-ROW()),""))</f>
        <v/>
      </c>
    </row>
    <row r="167" customFormat="false" ht="15" hidden="false" customHeight="false" outlineLevel="0" collapsed="false">
      <c r="A167" s="30"/>
      <c r="B167" s="30"/>
      <c r="D167" s="0" t="str">
        <f aca="false">IF($A167="","",IF(COUNTIF($A$6:$A167,$A167)=1,COUNTIF($A$6:$A$305,$A167)*10000+(9999-ROW()),""))</f>
        <v/>
      </c>
    </row>
    <row r="168" customFormat="false" ht="15" hidden="false" customHeight="false" outlineLevel="0" collapsed="false">
      <c r="A168" s="30"/>
      <c r="B168" s="30"/>
      <c r="D168" s="0" t="str">
        <f aca="false">IF($A168="","",IF(COUNTIF($A$6:$A168,$A168)=1,COUNTIF($A$6:$A$305,$A168)*10000+(9999-ROW()),""))</f>
        <v/>
      </c>
    </row>
    <row r="169" customFormat="false" ht="15" hidden="false" customHeight="false" outlineLevel="0" collapsed="false">
      <c r="A169" s="30"/>
      <c r="B169" s="30"/>
      <c r="D169" s="0" t="str">
        <f aca="false">IF($A169="","",IF(COUNTIF($A$6:$A169,$A169)=1,COUNTIF($A$6:$A$305,$A169)*10000+(9999-ROW()),""))</f>
        <v/>
      </c>
    </row>
    <row r="170" customFormat="false" ht="15" hidden="false" customHeight="false" outlineLevel="0" collapsed="false">
      <c r="A170" s="30"/>
      <c r="B170" s="30"/>
      <c r="D170" s="0" t="str">
        <f aca="false">IF($A170="","",IF(COUNTIF($A$6:$A170,$A170)=1,COUNTIF($A$6:$A$305,$A170)*10000+(9999-ROW()),""))</f>
        <v/>
      </c>
    </row>
    <row r="171" customFormat="false" ht="15" hidden="false" customHeight="false" outlineLevel="0" collapsed="false">
      <c r="A171" s="30"/>
      <c r="B171" s="30"/>
      <c r="D171" s="0" t="str">
        <f aca="false">IF($A171="","",IF(COUNTIF($A$6:$A171,$A171)=1,COUNTIF($A$6:$A$305,$A171)*10000+(9999-ROW()),""))</f>
        <v/>
      </c>
    </row>
    <row r="172" customFormat="false" ht="15" hidden="false" customHeight="false" outlineLevel="0" collapsed="false">
      <c r="A172" s="30"/>
      <c r="B172" s="30"/>
      <c r="D172" s="0" t="str">
        <f aca="false">IF($A172="","",IF(COUNTIF($A$6:$A172,$A172)=1,COUNTIF($A$6:$A$305,$A172)*10000+(9999-ROW()),""))</f>
        <v/>
      </c>
    </row>
    <row r="173" customFormat="false" ht="15" hidden="false" customHeight="false" outlineLevel="0" collapsed="false">
      <c r="A173" s="30"/>
      <c r="B173" s="30"/>
      <c r="D173" s="0" t="str">
        <f aca="false">IF($A173="","",IF(COUNTIF($A$6:$A173,$A173)=1,COUNTIF($A$6:$A$305,$A173)*10000+(9999-ROW()),""))</f>
        <v/>
      </c>
    </row>
    <row r="174" customFormat="false" ht="15" hidden="false" customHeight="false" outlineLevel="0" collapsed="false">
      <c r="A174" s="30"/>
      <c r="B174" s="30"/>
      <c r="D174" s="0" t="str">
        <f aca="false">IF($A174="","",IF(COUNTIF($A$6:$A174,$A174)=1,COUNTIF($A$6:$A$305,$A174)*10000+(9999-ROW()),""))</f>
        <v/>
      </c>
    </row>
    <row r="175" customFormat="false" ht="15" hidden="false" customHeight="false" outlineLevel="0" collapsed="false">
      <c r="A175" s="30"/>
      <c r="B175" s="30"/>
      <c r="D175" s="0" t="str">
        <f aca="false">IF($A175="","",IF(COUNTIF($A$6:$A175,$A175)=1,COUNTIF($A$6:$A$305,$A175)*10000+(9999-ROW()),""))</f>
        <v/>
      </c>
    </row>
    <row r="176" customFormat="false" ht="15" hidden="false" customHeight="false" outlineLevel="0" collapsed="false">
      <c r="A176" s="30"/>
      <c r="B176" s="30"/>
      <c r="D176" s="0" t="str">
        <f aca="false">IF($A176="","",IF(COUNTIF($A$6:$A176,$A176)=1,COUNTIF($A$6:$A$305,$A176)*10000+(9999-ROW()),""))</f>
        <v/>
      </c>
    </row>
    <row r="177" customFormat="false" ht="15" hidden="false" customHeight="false" outlineLevel="0" collapsed="false">
      <c r="A177" s="30"/>
      <c r="B177" s="30"/>
      <c r="D177" s="0" t="str">
        <f aca="false">IF($A177="","",IF(COUNTIF($A$6:$A177,$A177)=1,COUNTIF($A$6:$A$305,$A177)*10000+(9999-ROW()),""))</f>
        <v/>
      </c>
    </row>
    <row r="178" customFormat="false" ht="15" hidden="false" customHeight="false" outlineLevel="0" collapsed="false">
      <c r="A178" s="30"/>
      <c r="B178" s="30"/>
      <c r="D178" s="0" t="str">
        <f aca="false">IF($A178="","",IF(COUNTIF($A$6:$A178,$A178)=1,COUNTIF($A$6:$A$305,$A178)*10000+(9999-ROW()),""))</f>
        <v/>
      </c>
    </row>
    <row r="179" customFormat="false" ht="15" hidden="false" customHeight="false" outlineLevel="0" collapsed="false">
      <c r="A179" s="30"/>
      <c r="B179" s="30"/>
      <c r="D179" s="0" t="str">
        <f aca="false">IF($A179="","",IF(COUNTIF($A$6:$A179,$A179)=1,COUNTIF($A$6:$A$305,$A179)*10000+(9999-ROW()),""))</f>
        <v/>
      </c>
    </row>
    <row r="180" customFormat="false" ht="15" hidden="false" customHeight="false" outlineLevel="0" collapsed="false">
      <c r="A180" s="30"/>
      <c r="B180" s="30"/>
      <c r="D180" s="0" t="str">
        <f aca="false">IF($A180="","",IF(COUNTIF($A$6:$A180,$A180)=1,COUNTIF($A$6:$A$305,$A180)*10000+(9999-ROW()),""))</f>
        <v/>
      </c>
    </row>
    <row r="181" customFormat="false" ht="15" hidden="false" customHeight="false" outlineLevel="0" collapsed="false">
      <c r="A181" s="30"/>
      <c r="B181" s="30"/>
      <c r="D181" s="0" t="str">
        <f aca="false">IF($A181="","",IF(COUNTIF($A$6:$A181,$A181)=1,COUNTIF($A$6:$A$305,$A181)*10000+(9999-ROW()),""))</f>
        <v/>
      </c>
    </row>
    <row r="182" customFormat="false" ht="15" hidden="false" customHeight="false" outlineLevel="0" collapsed="false">
      <c r="A182" s="30"/>
      <c r="B182" s="30"/>
      <c r="D182" s="0" t="str">
        <f aca="false">IF($A182="","",IF(COUNTIF($A$6:$A182,$A182)=1,COUNTIF($A$6:$A$305,$A182)*10000+(9999-ROW()),""))</f>
        <v/>
      </c>
    </row>
    <row r="183" customFormat="false" ht="15" hidden="false" customHeight="false" outlineLevel="0" collapsed="false">
      <c r="A183" s="30"/>
      <c r="B183" s="30"/>
      <c r="D183" s="0" t="str">
        <f aca="false">IF($A183="","",IF(COUNTIF($A$6:$A183,$A183)=1,COUNTIF($A$6:$A$305,$A183)*10000+(9999-ROW()),""))</f>
        <v/>
      </c>
    </row>
    <row r="184" customFormat="false" ht="15" hidden="false" customHeight="false" outlineLevel="0" collapsed="false">
      <c r="A184" s="30"/>
      <c r="B184" s="30"/>
      <c r="D184" s="0" t="str">
        <f aca="false">IF($A184="","",IF(COUNTIF($A$6:$A184,$A184)=1,COUNTIF($A$6:$A$305,$A184)*10000+(9999-ROW()),""))</f>
        <v/>
      </c>
    </row>
    <row r="185" customFormat="false" ht="15" hidden="false" customHeight="false" outlineLevel="0" collapsed="false">
      <c r="A185" s="30"/>
      <c r="B185" s="30"/>
      <c r="D185" s="0" t="str">
        <f aca="false">IF($A185="","",IF(COUNTIF($A$6:$A185,$A185)=1,COUNTIF($A$6:$A$305,$A185)*10000+(9999-ROW()),""))</f>
        <v/>
      </c>
    </row>
    <row r="186" customFormat="false" ht="15" hidden="false" customHeight="false" outlineLevel="0" collapsed="false">
      <c r="A186" s="30"/>
      <c r="B186" s="30"/>
      <c r="D186" s="0" t="str">
        <f aca="false">IF($A186="","",IF(COUNTIF($A$6:$A186,$A186)=1,COUNTIF($A$6:$A$305,$A186)*10000+(9999-ROW()),""))</f>
        <v/>
      </c>
    </row>
    <row r="187" customFormat="false" ht="15" hidden="false" customHeight="false" outlineLevel="0" collapsed="false">
      <c r="A187" s="30"/>
      <c r="B187" s="30"/>
      <c r="D187" s="0" t="str">
        <f aca="false">IF($A187="","",IF(COUNTIF($A$6:$A187,$A187)=1,COUNTIF($A$6:$A$305,$A187)*10000+(9999-ROW()),""))</f>
        <v/>
      </c>
    </row>
    <row r="188" customFormat="false" ht="15" hidden="false" customHeight="false" outlineLevel="0" collapsed="false">
      <c r="A188" s="30"/>
      <c r="B188" s="30"/>
      <c r="D188" s="0" t="str">
        <f aca="false">IF($A188="","",IF(COUNTIF($A$6:$A188,$A188)=1,COUNTIF($A$6:$A$305,$A188)*10000+(9999-ROW()),""))</f>
        <v/>
      </c>
    </row>
    <row r="189" customFormat="false" ht="15" hidden="false" customHeight="false" outlineLevel="0" collapsed="false">
      <c r="A189" s="30"/>
      <c r="B189" s="30"/>
      <c r="D189" s="0" t="str">
        <f aca="false">IF($A189="","",IF(COUNTIF($A$6:$A189,$A189)=1,COUNTIF($A$6:$A$305,$A189)*10000+(9999-ROW()),""))</f>
        <v/>
      </c>
    </row>
    <row r="190" customFormat="false" ht="15" hidden="false" customHeight="false" outlineLevel="0" collapsed="false">
      <c r="A190" s="30"/>
      <c r="B190" s="30"/>
      <c r="D190" s="0" t="str">
        <f aca="false">IF($A190="","",IF(COUNTIF($A$6:$A190,$A190)=1,COUNTIF($A$6:$A$305,$A190)*10000+(9999-ROW()),""))</f>
        <v/>
      </c>
    </row>
    <row r="191" customFormat="false" ht="15" hidden="false" customHeight="false" outlineLevel="0" collapsed="false">
      <c r="A191" s="30"/>
      <c r="B191" s="30"/>
      <c r="D191" s="0" t="str">
        <f aca="false">IF($A191="","",IF(COUNTIF($A$6:$A191,$A191)=1,COUNTIF($A$6:$A$305,$A191)*10000+(9999-ROW()),""))</f>
        <v/>
      </c>
    </row>
    <row r="192" customFormat="false" ht="15" hidden="false" customHeight="false" outlineLevel="0" collapsed="false">
      <c r="A192" s="30"/>
      <c r="B192" s="30"/>
      <c r="D192" s="0" t="str">
        <f aca="false">IF($A192="","",IF(COUNTIF($A$6:$A192,$A192)=1,COUNTIF($A$6:$A$305,$A192)*10000+(9999-ROW()),""))</f>
        <v/>
      </c>
    </row>
    <row r="193" customFormat="false" ht="15" hidden="false" customHeight="false" outlineLevel="0" collapsed="false">
      <c r="A193" s="30"/>
      <c r="B193" s="30"/>
      <c r="D193" s="0" t="str">
        <f aca="false">IF($A193="","",IF(COUNTIF($A$6:$A193,$A193)=1,COUNTIF($A$6:$A$305,$A193)*10000+(9999-ROW()),""))</f>
        <v/>
      </c>
    </row>
    <row r="194" customFormat="false" ht="15" hidden="false" customHeight="false" outlineLevel="0" collapsed="false">
      <c r="A194" s="30"/>
      <c r="B194" s="30"/>
      <c r="D194" s="0" t="str">
        <f aca="false">IF($A194="","",IF(COUNTIF($A$6:$A194,$A194)=1,COUNTIF($A$6:$A$305,$A194)*10000+(9999-ROW()),""))</f>
        <v/>
      </c>
    </row>
    <row r="195" customFormat="false" ht="15" hidden="false" customHeight="false" outlineLevel="0" collapsed="false">
      <c r="A195" s="30"/>
      <c r="B195" s="30"/>
      <c r="D195" s="0" t="str">
        <f aca="false">IF($A195="","",IF(COUNTIF($A$6:$A195,$A195)=1,COUNTIF($A$6:$A$305,$A195)*10000+(9999-ROW()),""))</f>
        <v/>
      </c>
    </row>
    <row r="196" customFormat="false" ht="15" hidden="false" customHeight="false" outlineLevel="0" collapsed="false">
      <c r="A196" s="30"/>
      <c r="B196" s="30"/>
      <c r="D196" s="0" t="str">
        <f aca="false">IF($A196="","",IF(COUNTIF($A$6:$A196,$A196)=1,COUNTIF($A$6:$A$305,$A196)*10000+(9999-ROW()),""))</f>
        <v/>
      </c>
    </row>
    <row r="197" customFormat="false" ht="15" hidden="false" customHeight="false" outlineLevel="0" collapsed="false">
      <c r="A197" s="30"/>
      <c r="B197" s="30"/>
      <c r="D197" s="0" t="str">
        <f aca="false">IF($A197="","",IF(COUNTIF($A$6:$A197,$A197)=1,COUNTIF($A$6:$A$305,$A197)*10000+(9999-ROW()),""))</f>
        <v/>
      </c>
    </row>
    <row r="198" customFormat="false" ht="15" hidden="false" customHeight="false" outlineLevel="0" collapsed="false">
      <c r="A198" s="30"/>
      <c r="B198" s="30"/>
      <c r="D198" s="0" t="str">
        <f aca="false">IF($A198="","",IF(COUNTIF($A$6:$A198,$A198)=1,COUNTIF($A$6:$A$305,$A198)*10000+(9999-ROW()),""))</f>
        <v/>
      </c>
    </row>
    <row r="199" customFormat="false" ht="15" hidden="false" customHeight="false" outlineLevel="0" collapsed="false">
      <c r="A199" s="30"/>
      <c r="B199" s="30"/>
      <c r="D199" s="0" t="str">
        <f aca="false">IF($A199="","",IF(COUNTIF($A$6:$A199,$A199)=1,COUNTIF($A$6:$A$305,$A199)*10000+(9999-ROW()),""))</f>
        <v/>
      </c>
    </row>
    <row r="200" customFormat="false" ht="15" hidden="false" customHeight="false" outlineLevel="0" collapsed="false">
      <c r="A200" s="30"/>
      <c r="B200" s="30"/>
      <c r="D200" s="0" t="str">
        <f aca="false">IF($A200="","",IF(COUNTIF($A$6:$A200,$A200)=1,COUNTIF($A$6:$A$305,$A200)*10000+(9999-ROW()),""))</f>
        <v/>
      </c>
    </row>
    <row r="201" customFormat="false" ht="15" hidden="false" customHeight="false" outlineLevel="0" collapsed="false">
      <c r="A201" s="30"/>
      <c r="B201" s="30"/>
      <c r="D201" s="0" t="str">
        <f aca="false">IF($A201="","",IF(COUNTIF($A$6:$A201,$A201)=1,COUNTIF($A$6:$A$305,$A201)*10000+(9999-ROW()),""))</f>
        <v/>
      </c>
    </row>
    <row r="202" customFormat="false" ht="15" hidden="false" customHeight="false" outlineLevel="0" collapsed="false">
      <c r="A202" s="30"/>
      <c r="B202" s="30"/>
      <c r="D202" s="0" t="str">
        <f aca="false">IF($A202="","",IF(COUNTIF($A$6:$A202,$A202)=1,COUNTIF($A$6:$A$305,$A202)*10000+(9999-ROW()),""))</f>
        <v/>
      </c>
    </row>
    <row r="203" customFormat="false" ht="15" hidden="false" customHeight="false" outlineLevel="0" collapsed="false">
      <c r="A203" s="30"/>
      <c r="B203" s="30"/>
      <c r="D203" s="0" t="str">
        <f aca="false">IF($A203="","",IF(COUNTIF($A$6:$A203,$A203)=1,COUNTIF($A$6:$A$305,$A203)*10000+(9999-ROW()),""))</f>
        <v/>
      </c>
    </row>
    <row r="204" customFormat="false" ht="15" hidden="false" customHeight="false" outlineLevel="0" collapsed="false">
      <c r="A204" s="30"/>
      <c r="B204" s="30"/>
      <c r="D204" s="0" t="str">
        <f aca="false">IF($A204="","",IF(COUNTIF($A$6:$A204,$A204)=1,COUNTIF($A$6:$A$305,$A204)*10000+(9999-ROW()),""))</f>
        <v/>
      </c>
    </row>
    <row r="205" customFormat="false" ht="15" hidden="false" customHeight="false" outlineLevel="0" collapsed="false">
      <c r="A205" s="30"/>
      <c r="B205" s="30"/>
      <c r="D205" s="0" t="str">
        <f aca="false">IF($A205="","",IF(COUNTIF($A$6:$A205,$A205)=1,COUNTIF($A$6:$A$305,$A205)*10000+(9999-ROW()),""))</f>
        <v/>
      </c>
    </row>
    <row r="206" customFormat="false" ht="15" hidden="false" customHeight="false" outlineLevel="0" collapsed="false">
      <c r="A206" s="30"/>
      <c r="B206" s="30"/>
      <c r="D206" s="0" t="str">
        <f aca="false">IF($A206="","",IF(COUNTIF($A$6:$A206,$A206)=1,COUNTIF($A$6:$A$305,$A206)*10000+(9999-ROW()),""))</f>
        <v/>
      </c>
    </row>
    <row r="207" customFormat="false" ht="15" hidden="false" customHeight="false" outlineLevel="0" collapsed="false">
      <c r="A207" s="30"/>
      <c r="B207" s="30"/>
      <c r="D207" s="0" t="str">
        <f aca="false">IF($A207="","",IF(COUNTIF($A$6:$A207,$A207)=1,COUNTIF($A$6:$A$305,$A207)*10000+(9999-ROW()),""))</f>
        <v/>
      </c>
    </row>
    <row r="208" customFormat="false" ht="15" hidden="false" customHeight="false" outlineLevel="0" collapsed="false">
      <c r="A208" s="30"/>
      <c r="B208" s="30"/>
      <c r="D208" s="0" t="str">
        <f aca="false">IF($A208="","",IF(COUNTIF($A$6:$A208,$A208)=1,COUNTIF($A$6:$A$305,$A208)*10000+(9999-ROW()),""))</f>
        <v/>
      </c>
    </row>
    <row r="209" customFormat="false" ht="15" hidden="false" customHeight="false" outlineLevel="0" collapsed="false">
      <c r="A209" s="30"/>
      <c r="B209" s="30"/>
      <c r="D209" s="0" t="str">
        <f aca="false">IF($A209="","",IF(COUNTIF($A$6:$A209,$A209)=1,COUNTIF($A$6:$A$305,$A209)*10000+(9999-ROW()),""))</f>
        <v/>
      </c>
    </row>
    <row r="210" customFormat="false" ht="15" hidden="false" customHeight="false" outlineLevel="0" collapsed="false">
      <c r="A210" s="30"/>
      <c r="B210" s="30"/>
      <c r="D210" s="0" t="str">
        <f aca="false">IF($A210="","",IF(COUNTIF($A$6:$A210,$A210)=1,COUNTIF($A$6:$A$305,$A210)*10000+(9999-ROW()),""))</f>
        <v/>
      </c>
    </row>
    <row r="211" customFormat="false" ht="15" hidden="false" customHeight="false" outlineLevel="0" collapsed="false">
      <c r="A211" s="30"/>
      <c r="B211" s="30"/>
      <c r="D211" s="0" t="str">
        <f aca="false">IF($A211="","",IF(COUNTIF($A$6:$A211,$A211)=1,COUNTIF($A$6:$A$305,$A211)*10000+(9999-ROW()),""))</f>
        <v/>
      </c>
    </row>
    <row r="212" customFormat="false" ht="15" hidden="false" customHeight="false" outlineLevel="0" collapsed="false">
      <c r="A212" s="30"/>
      <c r="B212" s="30"/>
      <c r="D212" s="0" t="str">
        <f aca="false">IF($A212="","",IF(COUNTIF($A$6:$A212,$A212)=1,COUNTIF($A$6:$A$305,$A212)*10000+(9999-ROW()),""))</f>
        <v/>
      </c>
    </row>
    <row r="213" customFormat="false" ht="15" hidden="false" customHeight="false" outlineLevel="0" collapsed="false">
      <c r="A213" s="30"/>
      <c r="B213" s="30"/>
      <c r="D213" s="0" t="str">
        <f aca="false">IF($A213="","",IF(COUNTIF($A$6:$A213,$A213)=1,COUNTIF($A$6:$A$305,$A213)*10000+(9999-ROW()),""))</f>
        <v/>
      </c>
    </row>
    <row r="214" customFormat="false" ht="15" hidden="false" customHeight="false" outlineLevel="0" collapsed="false">
      <c r="A214" s="30"/>
      <c r="B214" s="30"/>
      <c r="D214" s="0" t="str">
        <f aca="false">IF($A214="","",IF(COUNTIF($A$6:$A214,$A214)=1,COUNTIF($A$6:$A$305,$A214)*10000+(9999-ROW()),""))</f>
        <v/>
      </c>
    </row>
    <row r="215" customFormat="false" ht="15" hidden="false" customHeight="false" outlineLevel="0" collapsed="false">
      <c r="A215" s="30"/>
      <c r="B215" s="30"/>
      <c r="D215" s="0" t="str">
        <f aca="false">IF($A215="","",IF(COUNTIF($A$6:$A215,$A215)=1,COUNTIF($A$6:$A$305,$A215)*10000+(9999-ROW()),""))</f>
        <v/>
      </c>
    </row>
    <row r="216" customFormat="false" ht="15" hidden="false" customHeight="false" outlineLevel="0" collapsed="false">
      <c r="A216" s="30"/>
      <c r="B216" s="30"/>
      <c r="D216" s="0" t="str">
        <f aca="false">IF($A216="","",IF(COUNTIF($A$6:$A216,$A216)=1,COUNTIF($A$6:$A$305,$A216)*10000+(9999-ROW()),""))</f>
        <v/>
      </c>
    </row>
    <row r="217" customFormat="false" ht="15" hidden="false" customHeight="false" outlineLevel="0" collapsed="false">
      <c r="A217" s="30"/>
      <c r="B217" s="30"/>
      <c r="D217" s="0" t="str">
        <f aca="false">IF($A217="","",IF(COUNTIF($A$6:$A217,$A217)=1,COUNTIF($A$6:$A$305,$A217)*10000+(9999-ROW()),""))</f>
        <v/>
      </c>
    </row>
    <row r="218" customFormat="false" ht="15" hidden="false" customHeight="false" outlineLevel="0" collapsed="false">
      <c r="A218" s="30"/>
      <c r="B218" s="30"/>
      <c r="D218" s="0" t="str">
        <f aca="false">IF($A218="","",IF(COUNTIF($A$6:$A218,$A218)=1,COUNTIF($A$6:$A$305,$A218)*10000+(9999-ROW()),""))</f>
        <v/>
      </c>
    </row>
    <row r="219" customFormat="false" ht="15" hidden="false" customHeight="false" outlineLevel="0" collapsed="false">
      <c r="A219" s="30"/>
      <c r="B219" s="30"/>
      <c r="D219" s="0" t="str">
        <f aca="false">IF($A219="","",IF(COUNTIF($A$6:$A219,$A219)=1,COUNTIF($A$6:$A$305,$A219)*10000+(9999-ROW()),""))</f>
        <v/>
      </c>
    </row>
    <row r="220" customFormat="false" ht="15" hidden="false" customHeight="false" outlineLevel="0" collapsed="false">
      <c r="A220" s="30"/>
      <c r="B220" s="30"/>
      <c r="D220" s="0" t="str">
        <f aca="false">IF($A220="","",IF(COUNTIF($A$6:$A220,$A220)=1,COUNTIF($A$6:$A$305,$A220)*10000+(9999-ROW()),""))</f>
        <v/>
      </c>
    </row>
    <row r="221" customFormat="false" ht="15" hidden="false" customHeight="false" outlineLevel="0" collapsed="false">
      <c r="A221" s="30"/>
      <c r="B221" s="30"/>
      <c r="D221" s="0" t="str">
        <f aca="false">IF($A221="","",IF(COUNTIF($A$6:$A221,$A221)=1,COUNTIF($A$6:$A$305,$A221)*10000+(9999-ROW()),""))</f>
        <v/>
      </c>
    </row>
    <row r="222" customFormat="false" ht="15" hidden="false" customHeight="false" outlineLevel="0" collapsed="false">
      <c r="A222" s="30"/>
      <c r="B222" s="30"/>
      <c r="D222" s="0" t="str">
        <f aca="false">IF($A222="","",IF(COUNTIF($A$6:$A222,$A222)=1,COUNTIF($A$6:$A$305,$A222)*10000+(9999-ROW()),""))</f>
        <v/>
      </c>
    </row>
    <row r="223" customFormat="false" ht="15" hidden="false" customHeight="false" outlineLevel="0" collapsed="false">
      <c r="A223" s="30"/>
      <c r="B223" s="30"/>
      <c r="D223" s="0" t="str">
        <f aca="false">IF($A223="","",IF(COUNTIF($A$6:$A223,$A223)=1,COUNTIF($A$6:$A$305,$A223)*10000+(9999-ROW()),""))</f>
        <v/>
      </c>
    </row>
    <row r="224" customFormat="false" ht="15" hidden="false" customHeight="false" outlineLevel="0" collapsed="false">
      <c r="A224" s="30"/>
      <c r="B224" s="30"/>
      <c r="D224" s="0" t="str">
        <f aca="false">IF($A224="","",IF(COUNTIF($A$6:$A224,$A224)=1,COUNTIF($A$6:$A$305,$A224)*10000+(9999-ROW()),""))</f>
        <v/>
      </c>
    </row>
    <row r="225" customFormat="false" ht="15" hidden="false" customHeight="false" outlineLevel="0" collapsed="false">
      <c r="A225" s="30"/>
      <c r="B225" s="30"/>
      <c r="D225" s="0" t="str">
        <f aca="false">IF($A225="","",IF(COUNTIF($A$6:$A225,$A225)=1,COUNTIF($A$6:$A$305,$A225)*10000+(9999-ROW()),""))</f>
        <v/>
      </c>
    </row>
    <row r="226" customFormat="false" ht="15" hidden="false" customHeight="false" outlineLevel="0" collapsed="false">
      <c r="A226" s="30"/>
      <c r="B226" s="30"/>
      <c r="D226" s="0" t="str">
        <f aca="false">IF($A226="","",IF(COUNTIF($A$6:$A226,$A226)=1,COUNTIF($A$6:$A$305,$A226)*10000+(9999-ROW()),""))</f>
        <v/>
      </c>
    </row>
    <row r="227" customFormat="false" ht="15" hidden="false" customHeight="false" outlineLevel="0" collapsed="false">
      <c r="A227" s="30"/>
      <c r="B227" s="30"/>
      <c r="D227" s="0" t="str">
        <f aca="false">IF($A227="","",IF(COUNTIF($A$6:$A227,$A227)=1,COUNTIF($A$6:$A$305,$A227)*10000+(9999-ROW()),""))</f>
        <v/>
      </c>
    </row>
    <row r="228" customFormat="false" ht="15" hidden="false" customHeight="false" outlineLevel="0" collapsed="false">
      <c r="A228" s="30"/>
      <c r="B228" s="30"/>
      <c r="D228" s="0" t="str">
        <f aca="false">IF($A228="","",IF(COUNTIF($A$6:$A228,$A228)=1,COUNTIF($A$6:$A$305,$A228)*10000+(9999-ROW()),""))</f>
        <v/>
      </c>
    </row>
    <row r="229" customFormat="false" ht="15" hidden="false" customHeight="false" outlineLevel="0" collapsed="false">
      <c r="A229" s="30"/>
      <c r="B229" s="30"/>
      <c r="D229" s="0" t="str">
        <f aca="false">IF($A229="","",IF(COUNTIF($A$6:$A229,$A229)=1,COUNTIF($A$6:$A$305,$A229)*10000+(9999-ROW()),""))</f>
        <v/>
      </c>
    </row>
    <row r="230" customFormat="false" ht="15" hidden="false" customHeight="false" outlineLevel="0" collapsed="false">
      <c r="A230" s="30"/>
      <c r="B230" s="30"/>
      <c r="D230" s="0" t="str">
        <f aca="false">IF($A230="","",IF(COUNTIF($A$6:$A230,$A230)=1,COUNTIF($A$6:$A$305,$A230)*10000+(9999-ROW()),""))</f>
        <v/>
      </c>
    </row>
    <row r="231" customFormat="false" ht="15" hidden="false" customHeight="false" outlineLevel="0" collapsed="false">
      <c r="A231" s="30"/>
      <c r="B231" s="30"/>
      <c r="D231" s="0" t="str">
        <f aca="false">IF($A231="","",IF(COUNTIF($A$6:$A231,$A231)=1,COUNTIF($A$6:$A$305,$A231)*10000+(9999-ROW()),""))</f>
        <v/>
      </c>
    </row>
    <row r="232" customFormat="false" ht="15" hidden="false" customHeight="false" outlineLevel="0" collapsed="false">
      <c r="A232" s="30"/>
      <c r="B232" s="30"/>
      <c r="D232" s="0" t="str">
        <f aca="false">IF($A232="","",IF(COUNTIF($A$6:$A232,$A232)=1,COUNTIF($A$6:$A$305,$A232)*10000+(9999-ROW()),""))</f>
        <v/>
      </c>
    </row>
    <row r="233" customFormat="false" ht="15" hidden="false" customHeight="false" outlineLevel="0" collapsed="false">
      <c r="A233" s="30"/>
      <c r="B233" s="30"/>
      <c r="D233" s="0" t="str">
        <f aca="false">IF($A233="","",IF(COUNTIF($A$6:$A233,$A233)=1,COUNTIF($A$6:$A$305,$A233)*10000+(9999-ROW()),""))</f>
        <v/>
      </c>
    </row>
    <row r="234" customFormat="false" ht="15" hidden="false" customHeight="false" outlineLevel="0" collapsed="false">
      <c r="A234" s="30"/>
      <c r="B234" s="30"/>
      <c r="D234" s="0" t="str">
        <f aca="false">IF($A234="","",IF(COUNTIF($A$6:$A234,$A234)=1,COUNTIF($A$6:$A$305,$A234)*10000+(9999-ROW()),""))</f>
        <v/>
      </c>
    </row>
    <row r="235" customFormat="false" ht="15" hidden="false" customHeight="false" outlineLevel="0" collapsed="false">
      <c r="A235" s="30"/>
      <c r="B235" s="30"/>
      <c r="D235" s="0" t="str">
        <f aca="false">IF($A235="","",IF(COUNTIF($A$6:$A235,$A235)=1,COUNTIF($A$6:$A$305,$A235)*10000+(9999-ROW()),""))</f>
        <v/>
      </c>
    </row>
    <row r="236" customFormat="false" ht="15" hidden="false" customHeight="false" outlineLevel="0" collapsed="false">
      <c r="A236" s="30"/>
      <c r="B236" s="30"/>
      <c r="D236" s="0" t="str">
        <f aca="false">IF($A236="","",IF(COUNTIF($A$6:$A236,$A236)=1,COUNTIF($A$6:$A$305,$A236)*10000+(9999-ROW()),""))</f>
        <v/>
      </c>
    </row>
    <row r="237" customFormat="false" ht="15" hidden="false" customHeight="false" outlineLevel="0" collapsed="false">
      <c r="A237" s="30"/>
      <c r="B237" s="30"/>
      <c r="D237" s="0" t="str">
        <f aca="false">IF($A237="","",IF(COUNTIF($A$6:$A237,$A237)=1,COUNTIF($A$6:$A$305,$A237)*10000+(9999-ROW()),""))</f>
        <v/>
      </c>
    </row>
    <row r="238" customFormat="false" ht="15" hidden="false" customHeight="false" outlineLevel="0" collapsed="false">
      <c r="A238" s="30"/>
      <c r="B238" s="30"/>
      <c r="D238" s="0" t="str">
        <f aca="false">IF($A238="","",IF(COUNTIF($A$6:$A238,$A238)=1,COUNTIF($A$6:$A$305,$A238)*10000+(9999-ROW()),""))</f>
        <v/>
      </c>
    </row>
    <row r="239" customFormat="false" ht="15" hidden="false" customHeight="false" outlineLevel="0" collapsed="false">
      <c r="A239" s="30"/>
      <c r="B239" s="30"/>
      <c r="D239" s="0" t="str">
        <f aca="false">IF($A239="","",IF(COUNTIF($A$6:$A239,$A239)=1,COUNTIF($A$6:$A$305,$A239)*10000+(9999-ROW()),""))</f>
        <v/>
      </c>
    </row>
    <row r="240" customFormat="false" ht="15" hidden="false" customHeight="false" outlineLevel="0" collapsed="false">
      <c r="A240" s="30"/>
      <c r="B240" s="30"/>
      <c r="D240" s="0" t="str">
        <f aca="false">IF($A240="","",IF(COUNTIF($A$6:$A240,$A240)=1,COUNTIF($A$6:$A$305,$A240)*10000+(9999-ROW()),""))</f>
        <v/>
      </c>
    </row>
    <row r="241" customFormat="false" ht="15" hidden="false" customHeight="false" outlineLevel="0" collapsed="false">
      <c r="A241" s="30"/>
      <c r="B241" s="30"/>
      <c r="D241" s="0" t="str">
        <f aca="false">IF($A241="","",IF(COUNTIF($A$6:$A241,$A241)=1,COUNTIF($A$6:$A$305,$A241)*10000+(9999-ROW()),""))</f>
        <v/>
      </c>
    </row>
    <row r="242" customFormat="false" ht="15" hidden="false" customHeight="false" outlineLevel="0" collapsed="false">
      <c r="A242" s="30"/>
      <c r="B242" s="30"/>
      <c r="D242" s="0" t="str">
        <f aca="false">IF($A242="","",IF(COUNTIF($A$6:$A242,$A242)=1,COUNTIF($A$6:$A$305,$A242)*10000+(9999-ROW()),""))</f>
        <v/>
      </c>
    </row>
    <row r="243" customFormat="false" ht="15" hidden="false" customHeight="false" outlineLevel="0" collapsed="false">
      <c r="A243" s="30"/>
      <c r="B243" s="30"/>
      <c r="D243" s="0" t="str">
        <f aca="false">IF($A243="","",IF(COUNTIF($A$6:$A243,$A243)=1,COUNTIF($A$6:$A$305,$A243)*10000+(9999-ROW()),""))</f>
        <v/>
      </c>
    </row>
    <row r="244" customFormat="false" ht="15" hidden="false" customHeight="false" outlineLevel="0" collapsed="false">
      <c r="A244" s="30"/>
      <c r="B244" s="30"/>
      <c r="D244" s="0" t="str">
        <f aca="false">IF($A244="","",IF(COUNTIF($A$6:$A244,$A244)=1,COUNTIF($A$6:$A$305,$A244)*10000+(9999-ROW()),""))</f>
        <v/>
      </c>
    </row>
    <row r="245" customFormat="false" ht="15" hidden="false" customHeight="false" outlineLevel="0" collapsed="false">
      <c r="A245" s="30"/>
      <c r="B245" s="30"/>
      <c r="D245" s="0" t="str">
        <f aca="false">IF($A245="","",IF(COUNTIF($A$6:$A245,$A245)=1,COUNTIF($A$6:$A$305,$A245)*10000+(9999-ROW()),""))</f>
        <v/>
      </c>
    </row>
    <row r="246" customFormat="false" ht="15" hidden="false" customHeight="false" outlineLevel="0" collapsed="false">
      <c r="A246" s="30"/>
      <c r="B246" s="30"/>
      <c r="D246" s="0" t="str">
        <f aca="false">IF($A246="","",IF(COUNTIF($A$6:$A246,$A246)=1,COUNTIF($A$6:$A$305,$A246)*10000+(9999-ROW()),""))</f>
        <v/>
      </c>
    </row>
    <row r="247" customFormat="false" ht="15" hidden="false" customHeight="false" outlineLevel="0" collapsed="false">
      <c r="A247" s="30"/>
      <c r="B247" s="30"/>
      <c r="D247" s="0" t="str">
        <f aca="false">IF($A247="","",IF(COUNTIF($A$6:$A247,$A247)=1,COUNTIF($A$6:$A$305,$A247)*10000+(9999-ROW()),""))</f>
        <v/>
      </c>
    </row>
    <row r="248" customFormat="false" ht="15" hidden="false" customHeight="false" outlineLevel="0" collapsed="false">
      <c r="A248" s="30"/>
      <c r="B248" s="30"/>
      <c r="D248" s="0" t="str">
        <f aca="false">IF($A248="","",IF(COUNTIF($A$6:$A248,$A248)=1,COUNTIF($A$6:$A$305,$A248)*10000+(9999-ROW()),""))</f>
        <v/>
      </c>
    </row>
    <row r="249" customFormat="false" ht="15" hidden="false" customHeight="false" outlineLevel="0" collapsed="false">
      <c r="A249" s="30"/>
      <c r="B249" s="30"/>
      <c r="D249" s="0" t="str">
        <f aca="false">IF($A249="","",IF(COUNTIF($A$6:$A249,$A249)=1,COUNTIF($A$6:$A$305,$A249)*10000+(9999-ROW()),""))</f>
        <v/>
      </c>
    </row>
    <row r="250" customFormat="false" ht="15" hidden="false" customHeight="false" outlineLevel="0" collapsed="false">
      <c r="A250" s="30"/>
      <c r="B250" s="30"/>
      <c r="D250" s="0" t="str">
        <f aca="false">IF($A250="","",IF(COUNTIF($A$6:$A250,$A250)=1,COUNTIF($A$6:$A$305,$A250)*10000+(9999-ROW()),""))</f>
        <v/>
      </c>
    </row>
    <row r="251" customFormat="false" ht="15" hidden="false" customHeight="false" outlineLevel="0" collapsed="false">
      <c r="A251" s="30"/>
      <c r="B251" s="30"/>
      <c r="D251" s="0" t="str">
        <f aca="false">IF($A251="","",IF(COUNTIF($A$6:$A251,$A251)=1,COUNTIF($A$6:$A$305,$A251)*10000+(9999-ROW()),""))</f>
        <v/>
      </c>
    </row>
    <row r="252" customFormat="false" ht="15" hidden="false" customHeight="false" outlineLevel="0" collapsed="false">
      <c r="A252" s="30"/>
      <c r="B252" s="30"/>
      <c r="D252" s="0" t="str">
        <f aca="false">IF($A252="","",IF(COUNTIF($A$6:$A252,$A252)=1,COUNTIF($A$6:$A$305,$A252)*10000+(9999-ROW()),""))</f>
        <v/>
      </c>
    </row>
    <row r="253" customFormat="false" ht="15" hidden="false" customHeight="false" outlineLevel="0" collapsed="false">
      <c r="A253" s="30"/>
      <c r="B253" s="30"/>
      <c r="D253" s="0" t="str">
        <f aca="false">IF($A253="","",IF(COUNTIF($A$6:$A253,$A253)=1,COUNTIF($A$6:$A$305,$A253)*10000+(9999-ROW()),""))</f>
        <v/>
      </c>
    </row>
    <row r="254" customFormat="false" ht="15" hidden="false" customHeight="false" outlineLevel="0" collapsed="false">
      <c r="A254" s="30"/>
      <c r="B254" s="30"/>
      <c r="D254" s="0" t="str">
        <f aca="false">IF($A254="","",IF(COUNTIF($A$6:$A254,$A254)=1,COUNTIF($A$6:$A$305,$A254)*10000+(9999-ROW()),""))</f>
        <v/>
      </c>
    </row>
    <row r="255" customFormat="false" ht="15" hidden="false" customHeight="false" outlineLevel="0" collapsed="false">
      <c r="A255" s="30"/>
      <c r="B255" s="30"/>
      <c r="D255" s="0" t="str">
        <f aca="false">IF($A255="","",IF(COUNTIF($A$6:$A255,$A255)=1,COUNTIF($A$6:$A$305,$A255)*10000+(9999-ROW()),""))</f>
        <v/>
      </c>
    </row>
    <row r="256" customFormat="false" ht="15" hidden="false" customHeight="false" outlineLevel="0" collapsed="false">
      <c r="A256" s="30"/>
      <c r="B256" s="30"/>
      <c r="D256" s="0" t="str">
        <f aca="false">IF($A256="","",IF(COUNTIF($A$6:$A256,$A256)=1,COUNTIF($A$6:$A$305,$A256)*10000+(9999-ROW()),""))</f>
        <v/>
      </c>
    </row>
    <row r="257" customFormat="false" ht="15" hidden="false" customHeight="false" outlineLevel="0" collapsed="false">
      <c r="A257" s="30"/>
      <c r="B257" s="30"/>
      <c r="D257" s="0" t="str">
        <f aca="false">IF($A257="","",IF(COUNTIF($A$6:$A257,$A257)=1,COUNTIF($A$6:$A$305,$A257)*10000+(9999-ROW()),""))</f>
        <v/>
      </c>
    </row>
    <row r="258" customFormat="false" ht="15" hidden="false" customHeight="false" outlineLevel="0" collapsed="false">
      <c r="A258" s="30"/>
      <c r="B258" s="30"/>
      <c r="D258" s="0" t="str">
        <f aca="false">IF($A258="","",IF(COUNTIF($A$6:$A258,$A258)=1,COUNTIF($A$6:$A$305,$A258)*10000+(9999-ROW()),""))</f>
        <v/>
      </c>
    </row>
    <row r="259" customFormat="false" ht="15" hidden="false" customHeight="false" outlineLevel="0" collapsed="false">
      <c r="A259" s="30"/>
      <c r="B259" s="30"/>
      <c r="D259" s="0" t="str">
        <f aca="false">IF($A259="","",IF(COUNTIF($A$6:$A259,$A259)=1,COUNTIF($A$6:$A$305,$A259)*10000+(9999-ROW()),""))</f>
        <v/>
      </c>
    </row>
    <row r="260" customFormat="false" ht="15" hidden="false" customHeight="false" outlineLevel="0" collapsed="false">
      <c r="A260" s="30"/>
      <c r="B260" s="30"/>
      <c r="D260" s="0" t="str">
        <f aca="false">IF($A260="","",IF(COUNTIF($A$6:$A260,$A260)=1,COUNTIF($A$6:$A$305,$A260)*10000+(9999-ROW()),""))</f>
        <v/>
      </c>
    </row>
    <row r="261" customFormat="false" ht="15" hidden="false" customHeight="false" outlineLevel="0" collapsed="false">
      <c r="A261" s="30"/>
      <c r="B261" s="30"/>
      <c r="D261" s="0" t="str">
        <f aca="false">IF($A261="","",IF(COUNTIF($A$6:$A261,$A261)=1,COUNTIF($A$6:$A$305,$A261)*10000+(9999-ROW()),""))</f>
        <v/>
      </c>
    </row>
    <row r="262" customFormat="false" ht="15" hidden="false" customHeight="false" outlineLevel="0" collapsed="false">
      <c r="A262" s="30"/>
      <c r="B262" s="30"/>
      <c r="D262" s="0" t="str">
        <f aca="false">IF($A262="","",IF(COUNTIF($A$6:$A262,$A262)=1,COUNTIF($A$6:$A$305,$A262)*10000+(9999-ROW()),""))</f>
        <v/>
      </c>
    </row>
    <row r="263" customFormat="false" ht="15" hidden="false" customHeight="false" outlineLevel="0" collapsed="false">
      <c r="A263" s="30"/>
      <c r="B263" s="30"/>
      <c r="D263" s="0" t="str">
        <f aca="false">IF($A263="","",IF(COUNTIF($A$6:$A263,$A263)=1,COUNTIF($A$6:$A$305,$A263)*10000+(9999-ROW()),""))</f>
        <v/>
      </c>
    </row>
    <row r="264" customFormat="false" ht="15" hidden="false" customHeight="false" outlineLevel="0" collapsed="false">
      <c r="A264" s="30"/>
      <c r="B264" s="30"/>
      <c r="D264" s="0" t="str">
        <f aca="false">IF($A264="","",IF(COUNTIF($A$6:$A264,$A264)=1,COUNTIF($A$6:$A$305,$A264)*10000+(9999-ROW()),""))</f>
        <v/>
      </c>
    </row>
    <row r="265" customFormat="false" ht="15" hidden="false" customHeight="false" outlineLevel="0" collapsed="false">
      <c r="A265" s="30"/>
      <c r="B265" s="30"/>
      <c r="D265" s="0" t="str">
        <f aca="false">IF($A265="","",IF(COUNTIF($A$6:$A265,$A265)=1,COUNTIF($A$6:$A$305,$A265)*10000+(9999-ROW()),""))</f>
        <v/>
      </c>
    </row>
    <row r="266" customFormat="false" ht="15" hidden="false" customHeight="false" outlineLevel="0" collapsed="false">
      <c r="A266" s="30"/>
      <c r="B266" s="30"/>
      <c r="D266" s="0" t="str">
        <f aca="false">IF($A266="","",IF(COUNTIF($A$6:$A266,$A266)=1,COUNTIF($A$6:$A$305,$A266)*10000+(9999-ROW()),""))</f>
        <v/>
      </c>
    </row>
    <row r="267" customFormat="false" ht="15" hidden="false" customHeight="false" outlineLevel="0" collapsed="false">
      <c r="A267" s="30"/>
      <c r="B267" s="30"/>
      <c r="D267" s="0" t="str">
        <f aca="false">IF($A267="","",IF(COUNTIF($A$6:$A267,$A267)=1,COUNTIF($A$6:$A$305,$A267)*10000+(9999-ROW()),""))</f>
        <v/>
      </c>
    </row>
    <row r="268" customFormat="false" ht="15" hidden="false" customHeight="false" outlineLevel="0" collapsed="false">
      <c r="A268" s="30"/>
      <c r="B268" s="30"/>
      <c r="D268" s="0" t="str">
        <f aca="false">IF($A268="","",IF(COUNTIF($A$6:$A268,$A268)=1,COUNTIF($A$6:$A$305,$A268)*10000+(9999-ROW()),""))</f>
        <v/>
      </c>
    </row>
    <row r="269" customFormat="false" ht="15" hidden="false" customHeight="false" outlineLevel="0" collapsed="false">
      <c r="A269" s="30"/>
      <c r="B269" s="30"/>
      <c r="D269" s="0" t="str">
        <f aca="false">IF($A269="","",IF(COUNTIF($A$6:$A269,$A269)=1,COUNTIF($A$6:$A$305,$A269)*10000+(9999-ROW()),""))</f>
        <v/>
      </c>
    </row>
    <row r="270" customFormat="false" ht="15" hidden="false" customHeight="false" outlineLevel="0" collapsed="false">
      <c r="A270" s="30"/>
      <c r="B270" s="30"/>
      <c r="D270" s="0" t="str">
        <f aca="false">IF($A270="","",IF(COUNTIF($A$6:$A270,$A270)=1,COUNTIF($A$6:$A$305,$A270)*10000+(9999-ROW()),""))</f>
        <v/>
      </c>
    </row>
    <row r="271" customFormat="false" ht="15" hidden="false" customHeight="false" outlineLevel="0" collapsed="false">
      <c r="A271" s="30"/>
      <c r="B271" s="30"/>
      <c r="D271" s="0" t="str">
        <f aca="false">IF($A271="","",IF(COUNTIF($A$6:$A271,$A271)=1,COUNTIF($A$6:$A$305,$A271)*10000+(9999-ROW()),""))</f>
        <v/>
      </c>
    </row>
    <row r="272" customFormat="false" ht="15" hidden="false" customHeight="false" outlineLevel="0" collapsed="false">
      <c r="A272" s="30"/>
      <c r="B272" s="30"/>
      <c r="D272" s="0" t="str">
        <f aca="false">IF($A272="","",IF(COUNTIF($A$6:$A272,$A272)=1,COUNTIF($A$6:$A$305,$A272)*10000+(9999-ROW()),""))</f>
        <v/>
      </c>
    </row>
    <row r="273" customFormat="false" ht="15" hidden="false" customHeight="false" outlineLevel="0" collapsed="false">
      <c r="A273" s="30"/>
      <c r="B273" s="30"/>
      <c r="D273" s="0" t="str">
        <f aca="false">IF($A273="","",IF(COUNTIF($A$6:$A273,$A273)=1,COUNTIF($A$6:$A$305,$A273)*10000+(9999-ROW()),""))</f>
        <v/>
      </c>
    </row>
    <row r="274" customFormat="false" ht="15" hidden="false" customHeight="false" outlineLevel="0" collapsed="false">
      <c r="A274" s="30"/>
      <c r="B274" s="30"/>
      <c r="D274" s="0" t="str">
        <f aca="false">IF($A274="","",IF(COUNTIF($A$6:$A274,$A274)=1,COUNTIF($A$6:$A$305,$A274)*10000+(9999-ROW()),""))</f>
        <v/>
      </c>
    </row>
    <row r="275" customFormat="false" ht="15" hidden="false" customHeight="false" outlineLevel="0" collapsed="false">
      <c r="A275" s="30"/>
      <c r="B275" s="30"/>
      <c r="D275" s="0" t="str">
        <f aca="false">IF($A275="","",IF(COUNTIF($A$6:$A275,$A275)=1,COUNTIF($A$6:$A$305,$A275)*10000+(9999-ROW()),""))</f>
        <v/>
      </c>
    </row>
    <row r="276" customFormat="false" ht="15" hidden="false" customHeight="false" outlineLevel="0" collapsed="false">
      <c r="A276" s="30"/>
      <c r="B276" s="30"/>
      <c r="D276" s="0" t="str">
        <f aca="false">IF($A276="","",IF(COUNTIF($A$6:$A276,$A276)=1,COUNTIF($A$6:$A$305,$A276)*10000+(9999-ROW()),""))</f>
        <v/>
      </c>
    </row>
    <row r="277" customFormat="false" ht="15" hidden="false" customHeight="false" outlineLevel="0" collapsed="false">
      <c r="A277" s="30"/>
      <c r="B277" s="30"/>
      <c r="D277" s="0" t="str">
        <f aca="false">IF($A277="","",IF(COUNTIF($A$6:$A277,$A277)=1,COUNTIF($A$6:$A$305,$A277)*10000+(9999-ROW()),""))</f>
        <v/>
      </c>
    </row>
    <row r="278" customFormat="false" ht="15" hidden="false" customHeight="false" outlineLevel="0" collapsed="false">
      <c r="A278" s="30"/>
      <c r="B278" s="30"/>
      <c r="D278" s="0" t="str">
        <f aca="false">IF($A278="","",IF(COUNTIF($A$6:$A278,$A278)=1,COUNTIF($A$6:$A$305,$A278)*10000+(9999-ROW()),""))</f>
        <v/>
      </c>
    </row>
    <row r="279" customFormat="false" ht="15" hidden="false" customHeight="false" outlineLevel="0" collapsed="false">
      <c r="A279" s="30"/>
      <c r="B279" s="30"/>
      <c r="D279" s="0" t="str">
        <f aca="false">IF($A279="","",IF(COUNTIF($A$6:$A279,$A279)=1,COUNTIF($A$6:$A$305,$A279)*10000+(9999-ROW()),""))</f>
        <v/>
      </c>
    </row>
    <row r="280" customFormat="false" ht="15" hidden="false" customHeight="false" outlineLevel="0" collapsed="false">
      <c r="A280" s="30"/>
      <c r="B280" s="30"/>
      <c r="D280" s="0" t="str">
        <f aca="false">IF($A280="","",IF(COUNTIF($A$6:$A280,$A280)=1,COUNTIF($A$6:$A$305,$A280)*10000+(9999-ROW()),""))</f>
        <v/>
      </c>
    </row>
    <row r="281" customFormat="false" ht="15" hidden="false" customHeight="false" outlineLevel="0" collapsed="false">
      <c r="A281" s="30"/>
      <c r="B281" s="30"/>
      <c r="D281" s="0" t="str">
        <f aca="false">IF($A281="","",IF(COUNTIF($A$6:$A281,$A281)=1,COUNTIF($A$6:$A$305,$A281)*10000+(9999-ROW()),""))</f>
        <v/>
      </c>
    </row>
    <row r="282" customFormat="false" ht="15" hidden="false" customHeight="false" outlineLevel="0" collapsed="false">
      <c r="A282" s="30"/>
      <c r="B282" s="30"/>
      <c r="D282" s="0" t="str">
        <f aca="false">IF($A282="","",IF(COUNTIF($A$6:$A282,$A282)=1,COUNTIF($A$6:$A$305,$A282)*10000+(9999-ROW()),""))</f>
        <v/>
      </c>
    </row>
    <row r="283" customFormat="false" ht="15" hidden="false" customHeight="false" outlineLevel="0" collapsed="false">
      <c r="A283" s="30"/>
      <c r="B283" s="30"/>
      <c r="D283" s="0" t="str">
        <f aca="false">IF($A283="","",IF(COUNTIF($A$6:$A283,$A283)=1,COUNTIF($A$6:$A$305,$A283)*10000+(9999-ROW()),""))</f>
        <v/>
      </c>
    </row>
    <row r="284" customFormat="false" ht="15" hidden="false" customHeight="false" outlineLevel="0" collapsed="false">
      <c r="A284" s="30"/>
      <c r="B284" s="30"/>
      <c r="D284" s="0" t="str">
        <f aca="false">IF($A284="","",IF(COUNTIF($A$6:$A284,$A284)=1,COUNTIF($A$6:$A$305,$A284)*10000+(9999-ROW()),""))</f>
        <v/>
      </c>
    </row>
    <row r="285" customFormat="false" ht="15" hidden="false" customHeight="false" outlineLevel="0" collapsed="false">
      <c r="A285" s="30"/>
      <c r="B285" s="30"/>
      <c r="D285" s="0" t="str">
        <f aca="false">IF($A285="","",IF(COUNTIF($A$6:$A285,$A285)=1,COUNTIF($A$6:$A$305,$A285)*10000+(9999-ROW()),""))</f>
        <v/>
      </c>
    </row>
    <row r="286" customFormat="false" ht="15" hidden="false" customHeight="false" outlineLevel="0" collapsed="false">
      <c r="A286" s="30"/>
      <c r="B286" s="30"/>
      <c r="D286" s="0" t="str">
        <f aca="false">IF($A286="","",IF(COUNTIF($A$6:$A286,$A286)=1,COUNTIF($A$6:$A$305,$A286)*10000+(9999-ROW()),""))</f>
        <v/>
      </c>
    </row>
    <row r="287" customFormat="false" ht="15" hidden="false" customHeight="false" outlineLevel="0" collapsed="false">
      <c r="A287" s="30"/>
      <c r="B287" s="30"/>
      <c r="D287" s="0" t="str">
        <f aca="false">IF($A287="","",IF(COUNTIF($A$6:$A287,$A287)=1,COUNTIF($A$6:$A$305,$A287)*10000+(9999-ROW()),""))</f>
        <v/>
      </c>
    </row>
    <row r="288" customFormat="false" ht="15" hidden="false" customHeight="false" outlineLevel="0" collapsed="false">
      <c r="A288" s="30"/>
      <c r="B288" s="30"/>
      <c r="D288" s="0" t="str">
        <f aca="false">IF($A288="","",IF(COUNTIF($A$6:$A288,$A288)=1,COUNTIF($A$6:$A$305,$A288)*10000+(9999-ROW()),""))</f>
        <v/>
      </c>
    </row>
    <row r="289" customFormat="false" ht="15" hidden="false" customHeight="false" outlineLevel="0" collapsed="false">
      <c r="A289" s="30"/>
      <c r="B289" s="30"/>
      <c r="D289" s="0" t="str">
        <f aca="false">IF($A289="","",IF(COUNTIF($A$6:$A289,$A289)=1,COUNTIF($A$6:$A$305,$A289)*10000+(9999-ROW()),""))</f>
        <v/>
      </c>
    </row>
    <row r="290" customFormat="false" ht="15" hidden="false" customHeight="false" outlineLevel="0" collapsed="false">
      <c r="A290" s="30"/>
      <c r="B290" s="30"/>
      <c r="D290" s="0" t="str">
        <f aca="false">IF($A290="","",IF(COUNTIF($A$6:$A290,$A290)=1,COUNTIF($A$6:$A$305,$A290)*10000+(9999-ROW()),""))</f>
        <v/>
      </c>
    </row>
    <row r="291" customFormat="false" ht="15" hidden="false" customHeight="false" outlineLevel="0" collapsed="false">
      <c r="A291" s="30"/>
      <c r="B291" s="30"/>
      <c r="D291" s="0" t="str">
        <f aca="false">IF($A291="","",IF(COUNTIF($A$6:$A291,$A291)=1,COUNTIF($A$6:$A$305,$A291)*10000+(9999-ROW()),""))</f>
        <v/>
      </c>
    </row>
    <row r="292" customFormat="false" ht="15" hidden="false" customHeight="false" outlineLevel="0" collapsed="false">
      <c r="A292" s="30"/>
      <c r="B292" s="30"/>
      <c r="D292" s="0" t="str">
        <f aca="false">IF($A292="","",IF(COUNTIF($A$6:$A292,$A292)=1,COUNTIF($A$6:$A$305,$A292)*10000+(9999-ROW()),""))</f>
        <v/>
      </c>
    </row>
    <row r="293" customFormat="false" ht="15" hidden="false" customHeight="false" outlineLevel="0" collapsed="false">
      <c r="A293" s="30"/>
      <c r="B293" s="30"/>
      <c r="D293" s="0" t="str">
        <f aca="false">IF($A293="","",IF(COUNTIF($A$6:$A293,$A293)=1,COUNTIF($A$6:$A$305,$A293)*10000+(9999-ROW()),""))</f>
        <v/>
      </c>
    </row>
    <row r="294" customFormat="false" ht="15" hidden="false" customHeight="false" outlineLevel="0" collapsed="false">
      <c r="A294" s="30"/>
      <c r="B294" s="30"/>
      <c r="D294" s="0" t="str">
        <f aca="false">IF($A294="","",IF(COUNTIF($A$6:$A294,$A294)=1,COUNTIF($A$6:$A$305,$A294)*10000+(9999-ROW()),""))</f>
        <v/>
      </c>
    </row>
    <row r="295" customFormat="false" ht="15" hidden="false" customHeight="false" outlineLevel="0" collapsed="false">
      <c r="A295" s="30"/>
      <c r="B295" s="30"/>
      <c r="D295" s="0" t="str">
        <f aca="false">IF($A295="","",IF(COUNTIF($A$6:$A295,$A295)=1,COUNTIF($A$6:$A$305,$A295)*10000+(9999-ROW()),""))</f>
        <v/>
      </c>
    </row>
    <row r="296" customFormat="false" ht="15" hidden="false" customHeight="false" outlineLevel="0" collapsed="false">
      <c r="A296" s="30"/>
      <c r="B296" s="30"/>
      <c r="D296" s="0" t="str">
        <f aca="false">IF($A296="","",IF(COUNTIF($A$6:$A296,$A296)=1,COUNTIF($A$6:$A$305,$A296)*10000+(9999-ROW()),""))</f>
        <v/>
      </c>
    </row>
    <row r="297" customFormat="false" ht="15" hidden="false" customHeight="false" outlineLevel="0" collapsed="false">
      <c r="A297" s="30"/>
      <c r="B297" s="30"/>
      <c r="D297" s="0" t="str">
        <f aca="false">IF($A297="","",IF(COUNTIF($A$6:$A297,$A297)=1,COUNTIF($A$6:$A$305,$A297)*10000+(9999-ROW()),""))</f>
        <v/>
      </c>
    </row>
    <row r="298" customFormat="false" ht="15" hidden="false" customHeight="false" outlineLevel="0" collapsed="false">
      <c r="A298" s="30"/>
      <c r="B298" s="30"/>
      <c r="D298" s="0" t="str">
        <f aca="false">IF($A298="","",IF(COUNTIF($A$6:$A298,$A298)=1,COUNTIF($A$6:$A$305,$A298)*10000+(9999-ROW()),""))</f>
        <v/>
      </c>
    </row>
    <row r="299" customFormat="false" ht="15" hidden="false" customHeight="false" outlineLevel="0" collapsed="false">
      <c r="A299" s="30"/>
      <c r="B299" s="30"/>
      <c r="D299" s="0" t="str">
        <f aca="false">IF($A299="","",IF(COUNTIF($A$6:$A299,$A299)=1,COUNTIF($A$6:$A$305,$A299)*10000+(9999-ROW()),""))</f>
        <v/>
      </c>
    </row>
    <row r="300" customFormat="false" ht="15" hidden="false" customHeight="false" outlineLevel="0" collapsed="false">
      <c r="A300" s="30"/>
      <c r="B300" s="30"/>
      <c r="D300" s="0" t="str">
        <f aca="false">IF($A300="","",IF(COUNTIF($A$6:$A300,$A300)=1,COUNTIF($A$6:$A$305,$A300)*10000+(9999-ROW()),""))</f>
        <v/>
      </c>
    </row>
    <row r="301" customFormat="false" ht="15" hidden="false" customHeight="false" outlineLevel="0" collapsed="false">
      <c r="A301" s="30"/>
      <c r="B301" s="30"/>
      <c r="D301" s="0" t="str">
        <f aca="false">IF($A301="","",IF(COUNTIF($A$6:$A301,$A301)=1,COUNTIF($A$6:$A$305,$A301)*10000+(9999-ROW()),""))</f>
        <v/>
      </c>
    </row>
    <row r="302" customFormat="false" ht="15" hidden="false" customHeight="false" outlineLevel="0" collapsed="false">
      <c r="A302" s="30"/>
      <c r="B302" s="30"/>
      <c r="D302" s="0" t="str">
        <f aca="false">IF($A302="","",IF(COUNTIF($A$6:$A302,$A302)=1,COUNTIF($A$6:$A$305,$A302)*10000+(9999-ROW()),""))</f>
        <v/>
      </c>
    </row>
    <row r="303" customFormat="false" ht="15" hidden="false" customHeight="false" outlineLevel="0" collapsed="false">
      <c r="A303" s="30"/>
      <c r="B303" s="30"/>
      <c r="D303" s="0" t="str">
        <f aca="false">IF($A303="","",IF(COUNTIF($A$6:$A303,$A303)=1,COUNTIF($A$6:$A$305,$A303)*10000+(9999-ROW()),""))</f>
        <v/>
      </c>
    </row>
    <row r="304" customFormat="false" ht="15" hidden="false" customHeight="false" outlineLevel="0" collapsed="false">
      <c r="A304" s="30"/>
      <c r="B304" s="30"/>
      <c r="D304" s="0" t="str">
        <f aca="false">IF($A304="","",IF(COUNTIF($A$6:$A304,$A304)=1,COUNTIF($A$6:$A$305,$A304)*10000+(9999-ROW()),""))</f>
        <v/>
      </c>
    </row>
    <row r="305" customFormat="false" ht="15" hidden="false" customHeight="false" outlineLevel="0" collapsed="false">
      <c r="A305" s="30"/>
      <c r="B305" s="30"/>
      <c r="D305" s="0" t="str">
        <f aca="false">IF($A305="","",IF(COUNTIF($A$6:$A305,$A305)=1,COUNTIF($A$6:$A$305,$A305)*10000+(9999-ROW()),""))</f>
        <v/>
      </c>
    </row>
  </sheetData>
  <mergeCells count="2">
    <mergeCell ref="A4:B4"/>
    <mergeCell ref="F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2026-06-22T14:17:02Z</dcterms:created>
  <dc:creator>Harinder Hunjan</dc:creator>
  <dc:description/>
  <dc:language>en-US</dc:language>
  <cp:lastModifiedBy>Harinder Hunjan</cp:lastModifiedBy>
  <dcterms:modified xsi:type="dcterms:W3CDTF">2026-07-20T15:40:45Z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